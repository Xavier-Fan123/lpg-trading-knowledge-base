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argo Schedule" sheetId="1" state="visible" r:id="rId1"/>
    <sheet xmlns:r="http://schemas.openxmlformats.org/officeDocument/2006/relationships" name="2-Position &amp; Hedge" sheetId="2" state="visible" r:id="rId2"/>
    <sheet xmlns:r="http://schemas.openxmlformats.org/officeDocument/2006/relationships" name="3-Price Tracker" sheetId="3" state="visible" r:id="rId3"/>
    <sheet xmlns:r="http://schemas.openxmlformats.org/officeDocument/2006/relationships" name="4-Netback Calc" sheetId="4" state="visible" r:id="rId4"/>
    <sheet xmlns:r="http://schemas.openxmlformats.org/officeDocument/2006/relationships" name="5-Customer Log" sheetId="5" state="visible" r:id="rId5"/>
    <sheet xmlns:r="http://schemas.openxmlformats.org/officeDocument/2006/relationships" name="6-PnL Attribution" sheetId="6" state="visible" r:id="rId6"/>
    <sheet xmlns:r="http://schemas.openxmlformats.org/officeDocument/2006/relationships" name="7-Freight &amp; Ships" sheetId="7" state="visible" r:id="rId7"/>
    <sheet xmlns:r="http://schemas.openxmlformats.org/officeDocument/2006/relationships" name="8-Market Int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2"/>
    </font>
    <font>
      <b val="1"/>
      <color rgb="002F5496"/>
      <sz val="11"/>
    </font>
    <font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4" fillId="0" borderId="0" pivotButton="0" quotePrefix="0" xfId="0"/>
    <xf numFmtId="3" fontId="2" fillId="4" borderId="1" applyAlignment="1" pivotButton="0" quotePrefix="0" xfId="0">
      <alignment vertical="center" wrapText="1"/>
    </xf>
    <xf numFmtId="9" fontId="2" fillId="4" borderId="1" applyAlignment="1" pivotButton="0" quotePrefix="0" xfId="0">
      <alignment vertical="center" wrapText="1"/>
    </xf>
    <xf numFmtId="0" fontId="0" fillId="4" borderId="0" pivotButton="0" quotePrefix="0" xfId="0"/>
    <xf numFmtId="0" fontId="5" fillId="0" borderId="0" pivotButton="0" quotePrefix="0" xfId="0"/>
    <xf numFmtId="4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6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</cols>
  <sheetData>
    <row r="1">
      <c r="A1" s="1" t="inlineStr">
        <is>
          <t>Cargo #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Volume (MT)</t>
        </is>
      </c>
      <c r="E1" s="1" t="inlineStr">
        <is>
          <t>Loading Window</t>
        </is>
      </c>
      <c r="F1" s="1" t="inlineStr">
        <is>
          <t>Vessel Name</t>
        </is>
      </c>
      <c r="G1" s="1" t="inlineStr">
        <is>
          <t>Vessel cbm</t>
        </is>
      </c>
      <c r="H1" s="1" t="inlineStr">
        <is>
          <t>ETA Load</t>
        </is>
      </c>
      <c r="I1" s="1" t="inlineStr">
        <is>
          <t>Buyer</t>
        </is>
      </c>
      <c r="J1" s="1" t="inlineStr">
        <is>
          <t>Destination Port</t>
        </is>
      </c>
      <c r="K1" s="1" t="inlineStr">
        <is>
          <t>Pricing Formula</t>
        </is>
      </c>
      <c r="L1" s="1" t="inlineStr">
        <is>
          <t>Pricing Month</t>
        </is>
      </c>
      <c r="M1" s="1" t="inlineStr">
        <is>
          <t>Layday</t>
        </is>
      </c>
      <c r="N1" s="1" t="inlineStr">
        <is>
          <t>Cancelling</t>
        </is>
      </c>
      <c r="O1" s="1" t="inlineStr">
        <is>
          <t>Status</t>
        </is>
      </c>
      <c r="P1" s="1" t="inlineStr">
        <is>
          <t>B/L Date</t>
        </is>
      </c>
      <c r="Q1" s="1" t="inlineStr">
        <is>
          <t>Invoice Date</t>
        </is>
      </c>
      <c r="R1" s="1" t="inlineStr">
        <is>
          <t>Payment Due</t>
        </is>
      </c>
      <c r="S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8">
      <c r="A28" s="3" t="inlineStr">
        <is>
          <t>TANK INVENTORY TRACKER</t>
        </is>
      </c>
    </row>
    <row r="29">
      <c r="A29" s="1" t="inlineStr">
        <is>
          <t>Date</t>
        </is>
      </c>
      <c r="B29" s="1" t="inlineStr">
        <is>
          <t>Opening (MT)</t>
        </is>
      </c>
      <c r="C29" s="1" t="inlineStr">
        <is>
          <t>Production (MT)</t>
        </is>
      </c>
      <c r="D29" s="1" t="inlineStr">
        <is>
          <t>Liftings (MT)</t>
        </is>
      </c>
      <c r="E29" s="1" t="inlineStr">
        <is>
          <t>Closing (MT)</t>
        </is>
      </c>
      <c r="F29" s="1" t="inlineStr">
        <is>
          <t>Tank Capacity (MT)</t>
        </is>
      </c>
      <c r="G29" s="1" t="inlineStr">
        <is>
          <t>Utilization %</t>
        </is>
      </c>
      <c r="H29" s="1" t="inlineStr">
        <is>
          <t>Days to Tank-Top</t>
        </is>
      </c>
      <c r="I29" s="1" t="inlineStr">
        <is>
          <t>Alert</t>
        </is>
      </c>
    </row>
    <row r="30">
      <c r="A30" s="2" t="n"/>
      <c r="B30" s="2" t="n"/>
      <c r="C30" s="2" t="n"/>
      <c r="D30" s="2" t="n"/>
      <c r="E30" s="4">
        <f>B30+C30-D30</f>
        <v/>
      </c>
      <c r="F30" s="2" t="n"/>
      <c r="G30" s="5">
        <f>IF(F30&gt;0,E30/F30,"")</f>
        <v/>
      </c>
      <c r="H30" s="4">
        <f>IF(C30&gt;0,(F30-E30)/C30,"")</f>
        <v/>
      </c>
      <c r="I30" s="4">
        <f>IF(AND(G30&lt;&gt;"",G30&gt;0.85),"⚠ HIGH","OK")</f>
        <v/>
      </c>
    </row>
    <row r="31">
      <c r="A31" s="2" t="n"/>
      <c r="B31" s="2" t="n"/>
      <c r="C31" s="2" t="n"/>
      <c r="D31" s="2" t="n"/>
      <c r="E31" s="4">
        <f>B31+C31-D31</f>
        <v/>
      </c>
      <c r="F31" s="2" t="n"/>
      <c r="G31" s="5">
        <f>IF(F31&gt;0,E31/F31,"")</f>
        <v/>
      </c>
      <c r="H31" s="4">
        <f>IF(C31&gt;0,(F31-E31)/C31,"")</f>
        <v/>
      </c>
      <c r="I31" s="4">
        <f>IF(AND(G31&lt;&gt;"",G31&gt;0.85),"⚠ HIGH","OK")</f>
        <v/>
      </c>
    </row>
    <row r="32">
      <c r="A32" s="2" t="n"/>
      <c r="B32" s="2" t="n"/>
      <c r="C32" s="2" t="n"/>
      <c r="D32" s="2" t="n"/>
      <c r="E32" s="4">
        <f>B32+C32-D32</f>
        <v/>
      </c>
      <c r="F32" s="2" t="n"/>
      <c r="G32" s="5">
        <f>IF(F32&gt;0,E32/F32,"")</f>
        <v/>
      </c>
      <c r="H32" s="4">
        <f>IF(C32&gt;0,(F32-E32)/C32,"")</f>
        <v/>
      </c>
      <c r="I32" s="4">
        <f>IF(AND(G32&lt;&gt;"",G32&gt;0.85),"⚠ HIGH","OK")</f>
        <v/>
      </c>
    </row>
    <row r="33">
      <c r="A33" s="2" t="n"/>
      <c r="B33" s="2" t="n"/>
      <c r="C33" s="2" t="n"/>
      <c r="D33" s="2" t="n"/>
      <c r="E33" s="4">
        <f>B33+C33-D33</f>
        <v/>
      </c>
      <c r="F33" s="2" t="n"/>
      <c r="G33" s="5">
        <f>IF(F33&gt;0,E33/F33,"")</f>
        <v/>
      </c>
      <c r="H33" s="4">
        <f>IF(C33&gt;0,(F33-E33)/C33,"")</f>
        <v/>
      </c>
      <c r="I33" s="4">
        <f>IF(AND(G33&lt;&gt;"",G33&gt;0.85),"⚠ HIGH","OK")</f>
        <v/>
      </c>
    </row>
    <row r="34">
      <c r="A34" s="2" t="n"/>
      <c r="B34" s="2" t="n"/>
      <c r="C34" s="2" t="n"/>
      <c r="D34" s="2" t="n"/>
      <c r="E34" s="4">
        <f>B34+C34-D34</f>
        <v/>
      </c>
      <c r="F34" s="2" t="n"/>
      <c r="G34" s="5">
        <f>IF(F34&gt;0,E34/F34,"")</f>
        <v/>
      </c>
      <c r="H34" s="4">
        <f>IF(C34&gt;0,(F34-E34)/C34,"")</f>
        <v/>
      </c>
      <c r="I34" s="4">
        <f>IF(AND(G34&lt;&gt;"",G34&gt;0.85),"⚠ HIGH","OK")</f>
        <v/>
      </c>
    </row>
    <row r="35">
      <c r="A35" s="2" t="n"/>
      <c r="B35" s="2" t="n"/>
      <c r="C35" s="2" t="n"/>
      <c r="D35" s="2" t="n"/>
      <c r="E35" s="4">
        <f>B35+C35-D35</f>
        <v/>
      </c>
      <c r="F35" s="2" t="n"/>
      <c r="G35" s="5">
        <f>IF(F35&gt;0,E35/F35,"")</f>
        <v/>
      </c>
      <c r="H35" s="4">
        <f>IF(C35&gt;0,(F35-E35)/C35,"")</f>
        <v/>
      </c>
      <c r="I35" s="4">
        <f>IF(AND(G35&lt;&gt;"",G35&gt;0.85),"⚠ HIGH","OK")</f>
        <v/>
      </c>
    </row>
    <row r="36">
      <c r="A36" s="2" t="n"/>
      <c r="B36" s="2" t="n"/>
      <c r="C36" s="2" t="n"/>
      <c r="D36" s="2" t="n"/>
      <c r="E36" s="4">
        <f>B36+C36-D36</f>
        <v/>
      </c>
      <c r="F36" s="2" t="n"/>
      <c r="G36" s="5">
        <f>IF(F36&gt;0,E36/F36,"")</f>
        <v/>
      </c>
      <c r="H36" s="4">
        <f>IF(C36&gt;0,(F36-E36)/C36,"")</f>
        <v/>
      </c>
      <c r="I36" s="4">
        <f>IF(AND(G36&lt;&gt;"",G36&gt;0.85),"⚠ HIGH","OK")</f>
        <v/>
      </c>
    </row>
    <row r="37">
      <c r="A37" s="2" t="n"/>
      <c r="B37" s="2" t="n"/>
      <c r="C37" s="2" t="n"/>
      <c r="D37" s="2" t="n"/>
      <c r="E37" s="4">
        <f>B37+C37-D37</f>
        <v/>
      </c>
      <c r="F37" s="2" t="n"/>
      <c r="G37" s="5">
        <f>IF(F37&gt;0,E37/F37,"")</f>
        <v/>
      </c>
      <c r="H37" s="4">
        <f>IF(C37&gt;0,(F37-E37)/C37,"")</f>
        <v/>
      </c>
      <c r="I37" s="4">
        <f>IF(AND(G37&lt;&gt;"",G37&gt;0.85),"⚠ HIGH","OK")</f>
        <v/>
      </c>
    </row>
    <row r="38">
      <c r="A38" s="2" t="n"/>
      <c r="B38" s="2" t="n"/>
      <c r="C38" s="2" t="n"/>
      <c r="D38" s="2" t="n"/>
      <c r="E38" s="4">
        <f>B38+C38-D38</f>
        <v/>
      </c>
      <c r="F38" s="2" t="n"/>
      <c r="G38" s="5">
        <f>IF(F38&gt;0,E38/F38,"")</f>
        <v/>
      </c>
      <c r="H38" s="4">
        <f>IF(C38&gt;0,(F38-E38)/C38,"")</f>
        <v/>
      </c>
      <c r="I38" s="4">
        <f>IF(AND(G38&lt;&gt;"",G38&gt;0.85),"⚠ HIGH","OK")</f>
        <v/>
      </c>
    </row>
    <row r="39">
      <c r="A39" s="2" t="n"/>
      <c r="B39" s="2" t="n"/>
      <c r="C39" s="2" t="n"/>
      <c r="D39" s="2" t="n"/>
      <c r="E39" s="4">
        <f>B39+C39-D39</f>
        <v/>
      </c>
      <c r="F39" s="2" t="n"/>
      <c r="G39" s="5">
        <f>IF(F39&gt;0,E39/F39,"")</f>
        <v/>
      </c>
      <c r="H39" s="4">
        <f>IF(C39&gt;0,(F39-E39)/C39,"")</f>
        <v/>
      </c>
      <c r="I39" s="4">
        <f>IF(AND(G39&lt;&gt;"",G39&gt;0.85),"⚠ HIGH","OK")</f>
        <v/>
      </c>
    </row>
    <row r="40">
      <c r="A40" s="2" t="n"/>
      <c r="B40" s="2" t="n"/>
      <c r="C40" s="2" t="n"/>
      <c r="D40" s="2" t="n"/>
      <c r="E40" s="4">
        <f>B40+C40-D40</f>
        <v/>
      </c>
      <c r="F40" s="2" t="n"/>
      <c r="G40" s="5">
        <f>IF(F40&gt;0,E40/F40,"")</f>
        <v/>
      </c>
      <c r="H40" s="4">
        <f>IF(C40&gt;0,(F40-E40)/C40,"")</f>
        <v/>
      </c>
      <c r="I40" s="4">
        <f>IF(AND(G40&lt;&gt;"",G40&gt;0.85),"⚠ HIGH","OK")</f>
        <v/>
      </c>
    </row>
    <row r="41">
      <c r="A41" s="2" t="n"/>
      <c r="B41" s="2" t="n"/>
      <c r="C41" s="2" t="n"/>
      <c r="D41" s="2" t="n"/>
      <c r="E41" s="4">
        <f>B41+C41-D41</f>
        <v/>
      </c>
      <c r="F41" s="2" t="n"/>
      <c r="G41" s="5">
        <f>IF(F41&gt;0,E41/F41,"")</f>
        <v/>
      </c>
      <c r="H41" s="4">
        <f>IF(C41&gt;0,(F41-E41)/C41,"")</f>
        <v/>
      </c>
      <c r="I41" s="4">
        <f>IF(AND(G41&lt;&gt;"",G41&gt;0.85),"⚠ HIGH","OK")</f>
        <v/>
      </c>
    </row>
    <row r="42">
      <c r="A42" s="2" t="n"/>
      <c r="B42" s="2" t="n"/>
      <c r="C42" s="2" t="n"/>
      <c r="D42" s="2" t="n"/>
      <c r="E42" s="4">
        <f>B42+C42-D42</f>
        <v/>
      </c>
      <c r="F42" s="2" t="n"/>
      <c r="G42" s="5">
        <f>IF(F42&gt;0,E42/F42,"")</f>
        <v/>
      </c>
      <c r="H42" s="4">
        <f>IF(C42&gt;0,(F42-E42)/C42,"")</f>
        <v/>
      </c>
      <c r="I42" s="4">
        <f>IF(AND(G42&lt;&gt;"",G42&gt;0.85),"⚠ HIGH","OK")</f>
        <v/>
      </c>
    </row>
    <row r="43">
      <c r="A43" s="2" t="n"/>
      <c r="B43" s="2" t="n"/>
      <c r="C43" s="2" t="n"/>
      <c r="D43" s="2" t="n"/>
      <c r="E43" s="4">
        <f>B43+C43-D43</f>
        <v/>
      </c>
      <c r="F43" s="2" t="n"/>
      <c r="G43" s="5">
        <f>IF(F43&gt;0,E43/F43,"")</f>
        <v/>
      </c>
      <c r="H43" s="4">
        <f>IF(C43&gt;0,(F43-E43)/C43,"")</f>
        <v/>
      </c>
      <c r="I43" s="4">
        <f>IF(AND(G43&lt;&gt;"",G43&gt;0.85),"⚠ HIGH","OK")</f>
        <v/>
      </c>
    </row>
    <row r="44">
      <c r="A44" s="2" t="n"/>
      <c r="B44" s="2" t="n"/>
      <c r="C44" s="2" t="n"/>
      <c r="D44" s="2" t="n"/>
      <c r="E44" s="4">
        <f>B44+C44-D44</f>
        <v/>
      </c>
      <c r="F44" s="2" t="n"/>
      <c r="G44" s="5">
        <f>IF(F44&gt;0,E44/F44,"")</f>
        <v/>
      </c>
      <c r="H44" s="4">
        <f>IF(C44&gt;0,(F44-E44)/C44,"")</f>
        <v/>
      </c>
      <c r="I44" s="4">
        <f>IF(AND(G44&lt;&gt;"",G44&gt;0.85),"⚠ HIGH","OK")</f>
        <v/>
      </c>
    </row>
    <row r="45">
      <c r="A45" s="2" t="n"/>
      <c r="B45" s="2" t="n"/>
      <c r="C45" s="2" t="n"/>
      <c r="D45" s="2" t="n"/>
      <c r="E45" s="4">
        <f>B45+C45-D45</f>
        <v/>
      </c>
      <c r="F45" s="2" t="n"/>
      <c r="G45" s="5">
        <f>IF(F45&gt;0,E45/F45,"")</f>
        <v/>
      </c>
      <c r="H45" s="4">
        <f>IF(C45&gt;0,(F45-E45)/C45,"")</f>
        <v/>
      </c>
      <c r="I45" s="4">
        <f>IF(AND(G45&lt;&gt;"",G45&gt;0.85),"⚠ HIGH","OK")</f>
        <v/>
      </c>
    </row>
    <row r="46">
      <c r="A46" s="2" t="n"/>
      <c r="B46" s="2" t="n"/>
      <c r="C46" s="2" t="n"/>
      <c r="D46" s="2" t="n"/>
      <c r="E46" s="4">
        <f>B46+C46-D46</f>
        <v/>
      </c>
      <c r="F46" s="2" t="n"/>
      <c r="G46" s="5">
        <f>IF(F46&gt;0,E46/F46,"")</f>
        <v/>
      </c>
      <c r="H46" s="4">
        <f>IF(C46&gt;0,(F46-E46)/C46,"")</f>
        <v/>
      </c>
      <c r="I46" s="4">
        <f>IF(AND(G46&lt;&gt;"",G46&gt;0.85),"⚠ HIGH","OK")</f>
        <v/>
      </c>
    </row>
    <row r="47">
      <c r="A47" s="2" t="n"/>
      <c r="B47" s="2" t="n"/>
      <c r="C47" s="2" t="n"/>
      <c r="D47" s="2" t="n"/>
      <c r="E47" s="4">
        <f>B47+C47-D47</f>
        <v/>
      </c>
      <c r="F47" s="2" t="n"/>
      <c r="G47" s="5">
        <f>IF(F47&gt;0,E47/F47,"")</f>
        <v/>
      </c>
      <c r="H47" s="4">
        <f>IF(C47&gt;0,(F47-E47)/C47,"")</f>
        <v/>
      </c>
      <c r="I47" s="4">
        <f>IF(AND(G47&lt;&gt;"",G47&gt;0.85),"⚠ HIGH","OK")</f>
        <v/>
      </c>
    </row>
    <row r="48">
      <c r="A48" s="2" t="n"/>
      <c r="B48" s="2" t="n"/>
      <c r="C48" s="2" t="n"/>
      <c r="D48" s="2" t="n"/>
      <c r="E48" s="4">
        <f>B48+C48-D48</f>
        <v/>
      </c>
      <c r="F48" s="2" t="n"/>
      <c r="G48" s="5">
        <f>IF(F48&gt;0,E48/F48,"")</f>
        <v/>
      </c>
      <c r="H48" s="4">
        <f>IF(C48&gt;0,(F48-E48)/C48,"")</f>
        <v/>
      </c>
      <c r="I48" s="4">
        <f>IF(AND(G48&lt;&gt;"",G48&gt;0.85),"⚠ HIGH","OK")</f>
        <v/>
      </c>
    </row>
    <row r="49">
      <c r="A49" s="2" t="n"/>
      <c r="B49" s="2" t="n"/>
      <c r="C49" s="2" t="n"/>
      <c r="D49" s="2" t="n"/>
      <c r="E49" s="4">
        <f>B49+C49-D49</f>
        <v/>
      </c>
      <c r="F49" s="2" t="n"/>
      <c r="G49" s="5">
        <f>IF(F49&gt;0,E49/F49,"")</f>
        <v/>
      </c>
      <c r="H49" s="4">
        <f>IF(C49&gt;0,(F49-E49)/C49,"")</f>
        <v/>
      </c>
      <c r="I49" s="4">
        <f>IF(AND(G49&lt;&gt;"",G49&gt;0.85),"⚠ HIGH","OK")</f>
        <v/>
      </c>
    </row>
    <row r="50">
      <c r="A50" s="2" t="n"/>
      <c r="B50" s="2" t="n"/>
      <c r="C50" s="2" t="n"/>
      <c r="D50" s="2" t="n"/>
      <c r="E50" s="4">
        <f>B50+C50-D50</f>
        <v/>
      </c>
      <c r="F50" s="2" t="n"/>
      <c r="G50" s="5">
        <f>IF(F50&gt;0,E50/F50,"")</f>
        <v/>
      </c>
      <c r="H50" s="4">
        <f>IF(C50&gt;0,(F50-E50)/C50,"")</f>
        <v/>
      </c>
      <c r="I50" s="4">
        <f>IF(AND(G50&lt;&gt;"",G50&gt;0.85),"⚠ HIGH","OK")</f>
        <v/>
      </c>
    </row>
    <row r="51">
      <c r="A51" s="2" t="n"/>
      <c r="B51" s="2" t="n"/>
      <c r="C51" s="2" t="n"/>
      <c r="D51" s="2" t="n"/>
      <c r="E51" s="4">
        <f>B51+C51-D51</f>
        <v/>
      </c>
      <c r="F51" s="2" t="n"/>
      <c r="G51" s="5">
        <f>IF(F51&gt;0,E51/F51,"")</f>
        <v/>
      </c>
      <c r="H51" s="4">
        <f>IF(C51&gt;0,(F51-E51)/C51,"")</f>
        <v/>
      </c>
      <c r="I51" s="4">
        <f>IF(AND(G51&lt;&gt;"",G51&gt;0.85),"⚠ HIGH","OK")</f>
        <v/>
      </c>
    </row>
    <row r="52">
      <c r="A52" s="2" t="n"/>
      <c r="B52" s="2" t="n"/>
      <c r="C52" s="2" t="n"/>
      <c r="D52" s="2" t="n"/>
      <c r="E52" s="4">
        <f>B52+C52-D52</f>
        <v/>
      </c>
      <c r="F52" s="2" t="n"/>
      <c r="G52" s="5">
        <f>IF(F52&gt;0,E52/F52,"")</f>
        <v/>
      </c>
      <c r="H52" s="4">
        <f>IF(C52&gt;0,(F52-E52)/C52,"")</f>
        <v/>
      </c>
      <c r="I52" s="4">
        <f>IF(AND(G52&lt;&gt;"",G52&gt;0.85),"⚠ HIGH","OK")</f>
        <v/>
      </c>
    </row>
    <row r="53">
      <c r="A53" s="2" t="n"/>
      <c r="B53" s="2" t="n"/>
      <c r="C53" s="2" t="n"/>
      <c r="D53" s="2" t="n"/>
      <c r="E53" s="4">
        <f>B53+C53-D53</f>
        <v/>
      </c>
      <c r="F53" s="2" t="n"/>
      <c r="G53" s="5">
        <f>IF(F53&gt;0,E53/F53,"")</f>
        <v/>
      </c>
      <c r="H53" s="4">
        <f>IF(C53&gt;0,(F53-E53)/C53,"")</f>
        <v/>
      </c>
      <c r="I53" s="4">
        <f>IF(AND(G53&lt;&gt;"",G53&gt;0.85),"⚠ HIGH","OK")</f>
        <v/>
      </c>
    </row>
    <row r="54">
      <c r="A54" s="2" t="n"/>
      <c r="B54" s="2" t="n"/>
      <c r="C54" s="2" t="n"/>
      <c r="D54" s="2" t="n"/>
      <c r="E54" s="4">
        <f>B54+C54-D54</f>
        <v/>
      </c>
      <c r="F54" s="2" t="n"/>
      <c r="G54" s="5">
        <f>IF(F54&gt;0,E54/F54,"")</f>
        <v/>
      </c>
      <c r="H54" s="4">
        <f>IF(C54&gt;0,(F54-E54)/C54,"")</f>
        <v/>
      </c>
      <c r="I54" s="4">
        <f>IF(AND(G54&lt;&gt;"",G54&gt;0.85),"⚠ HIGH","OK")</f>
        <v/>
      </c>
    </row>
    <row r="55">
      <c r="A55" s="2" t="n"/>
      <c r="B55" s="2" t="n"/>
      <c r="C55" s="2" t="n"/>
      <c r="D55" s="2" t="n"/>
      <c r="E55" s="4">
        <f>B55+C55-D55</f>
        <v/>
      </c>
      <c r="F55" s="2" t="n"/>
      <c r="G55" s="5">
        <f>IF(F55&gt;0,E55/F55,"")</f>
        <v/>
      </c>
      <c r="H55" s="4">
        <f>IF(C55&gt;0,(F55-E55)/C55,"")</f>
        <v/>
      </c>
      <c r="I55" s="4">
        <f>IF(AND(G55&lt;&gt;"",G55&gt;0.85),"⚠ HIGH","OK")</f>
        <v/>
      </c>
    </row>
    <row r="56">
      <c r="A56" s="2" t="n"/>
      <c r="B56" s="2" t="n"/>
      <c r="C56" s="2" t="n"/>
      <c r="D56" s="2" t="n"/>
      <c r="E56" s="4">
        <f>B56+C56-D56</f>
        <v/>
      </c>
      <c r="F56" s="2" t="n"/>
      <c r="G56" s="5">
        <f>IF(F56&gt;0,E56/F56,"")</f>
        <v/>
      </c>
      <c r="H56" s="4">
        <f>IF(C56&gt;0,(F56-E56)/C56,"")</f>
        <v/>
      </c>
      <c r="I56" s="4">
        <f>IF(AND(G56&lt;&gt;"",G56&gt;0.85),"⚠ HIGH","OK")</f>
        <v/>
      </c>
    </row>
    <row r="57">
      <c r="A57" s="2" t="n"/>
      <c r="B57" s="2" t="n"/>
      <c r="C57" s="2" t="n"/>
      <c r="D57" s="2" t="n"/>
      <c r="E57" s="4">
        <f>B57+C57-D57</f>
        <v/>
      </c>
      <c r="F57" s="2" t="n"/>
      <c r="G57" s="5">
        <f>IF(F57&gt;0,E57/F57,"")</f>
        <v/>
      </c>
      <c r="H57" s="4">
        <f>IF(C57&gt;0,(F57-E57)/C57,"")</f>
        <v/>
      </c>
      <c r="I57" s="4">
        <f>IF(AND(G57&lt;&gt;"",G57&gt;0.85),"⚠ HIGH","OK")</f>
        <v/>
      </c>
    </row>
    <row r="58">
      <c r="A58" s="2" t="n"/>
      <c r="B58" s="2" t="n"/>
      <c r="C58" s="2" t="n"/>
      <c r="D58" s="2" t="n"/>
      <c r="E58" s="4">
        <f>B58+C58-D58</f>
        <v/>
      </c>
      <c r="F58" s="2" t="n"/>
      <c r="G58" s="5">
        <f>IF(F58&gt;0,E58/F58,"")</f>
        <v/>
      </c>
      <c r="H58" s="4">
        <f>IF(C58&gt;0,(F58-E58)/C58,"")</f>
        <v/>
      </c>
      <c r="I58" s="4">
        <f>IF(AND(G58&lt;&gt;"",G58&gt;0.85),"⚠ HIGH","OK")</f>
        <v/>
      </c>
    </row>
    <row r="59">
      <c r="A59" s="2" t="n"/>
      <c r="B59" s="2" t="n"/>
      <c r="C59" s="2" t="n"/>
      <c r="D59" s="2" t="n"/>
      <c r="E59" s="4">
        <f>B59+C59-D59</f>
        <v/>
      </c>
      <c r="F59" s="2" t="n"/>
      <c r="G59" s="5">
        <f>IF(F59&gt;0,E59/F59,"")</f>
        <v/>
      </c>
      <c r="H59" s="4">
        <f>IF(C59&gt;0,(F59-E59)/C59,"")</f>
        <v/>
      </c>
      <c r="I59" s="4">
        <f>IF(AND(G59&lt;&gt;"",G59&gt;0.85),"⚠ HIGH","OK")</f>
        <v/>
      </c>
    </row>
  </sheetData>
  <dataValidations count="2">
    <dataValidation sqref="O2:O50" showDropDown="0" showInputMessage="0" showErrorMessage="0" allowBlank="1" error="Pick a valid status" type="list">
      <formula1>"Planned,Nominated,Loading,Sailing,Discharged,Invoiced,Settled"</formula1>
    </dataValidation>
    <dataValidation sqref="C2:C50" showDropDown="0" showInputMessage="0" showErrorMessage="0" allowBlank="1" type="list">
      <formula1>"Propane,Butane,Mix"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K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>
      <c r="A1" s="6" t="inlineStr">
        <is>
          <t>PHYSICAL POSITIONS (LONG)</t>
        </is>
      </c>
    </row>
    <row r="2">
      <c r="A2" s="1" t="inlineStr">
        <is>
          <t>Cargo #</t>
        </is>
      </c>
      <c r="B2" s="1" t="inlineStr">
        <is>
          <t>Product</t>
        </is>
      </c>
      <c r="C2" s="1" t="inlineStr">
        <is>
          <t>Volume (MT)</t>
        </is>
      </c>
      <c r="D2" s="1" t="inlineStr">
        <is>
          <t>Load Date</t>
        </is>
      </c>
      <c r="E2" s="1" t="inlineStr">
        <is>
          <t>Pricing Formula</t>
        </is>
      </c>
      <c r="F2" s="1" t="inlineStr">
        <is>
          <t>Pricing Month</t>
        </is>
      </c>
      <c r="G2" s="1" t="inlineStr">
        <is>
          <t>Contracted Price</t>
        </is>
      </c>
      <c r="H2" s="1" t="inlineStr">
        <is>
          <t>Current AFEI</t>
        </is>
      </c>
      <c r="I2" s="1" t="inlineStr">
        <is>
          <t>Unrealized P&amp;L ($/mt)</t>
        </is>
      </c>
      <c r="J2" s="1" t="inlineStr">
        <is>
          <t>Unrealized P&amp;L ($)</t>
        </is>
      </c>
      <c r="K2" s="1" t="inlineStr">
        <is>
          <t>Status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4">
        <f>IF(H3&lt;&gt;"",G3-H3,"")</f>
        <v/>
      </c>
      <c r="J3" s="7">
        <f>IF(I3&lt;&gt;"",I3*C3,"")</f>
        <v/>
      </c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4">
        <f>IF(H4&lt;&gt;"",G4-H4,"")</f>
        <v/>
      </c>
      <c r="J4" s="7">
        <f>IF(I4&lt;&gt;"",I4*C4,"")</f>
        <v/>
      </c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4">
        <f>IF(H5&lt;&gt;"",G5-H5,"")</f>
        <v/>
      </c>
      <c r="J5" s="7">
        <f>IF(I5&lt;&gt;"",I5*C5,"")</f>
        <v/>
      </c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4">
        <f>IF(H6&lt;&gt;"",G6-H6,"")</f>
        <v/>
      </c>
      <c r="J6" s="7">
        <f>IF(I6&lt;&gt;"",I6*C6,"")</f>
        <v/>
      </c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4">
        <f>IF(H7&lt;&gt;"",G7-H7,"")</f>
        <v/>
      </c>
      <c r="J7" s="7">
        <f>IF(I7&lt;&gt;"",I7*C7,"")</f>
        <v/>
      </c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4">
        <f>IF(H8&lt;&gt;"",G8-H8,"")</f>
        <v/>
      </c>
      <c r="J8" s="7">
        <f>IF(I8&lt;&gt;"",I8*C8,"")</f>
        <v/>
      </c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4">
        <f>IF(H9&lt;&gt;"",G9-H9,"")</f>
        <v/>
      </c>
      <c r="J9" s="7">
        <f>IF(I9&lt;&gt;"",I9*C9,"")</f>
        <v/>
      </c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4">
        <f>IF(H10&lt;&gt;"",G10-H10,"")</f>
        <v/>
      </c>
      <c r="J10" s="7">
        <f>IF(I10&lt;&gt;"",I10*C10,"")</f>
        <v/>
      </c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4">
        <f>IF(H11&lt;&gt;"",G11-H11,"")</f>
        <v/>
      </c>
      <c r="J11" s="7">
        <f>IF(I11&lt;&gt;"",I11*C11,"")</f>
        <v/>
      </c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4">
        <f>IF(H12&lt;&gt;"",G12-H12,"")</f>
        <v/>
      </c>
      <c r="J12" s="7">
        <f>IF(I12&lt;&gt;"",I12*C12,"")</f>
        <v/>
      </c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4">
        <f>IF(H13&lt;&gt;"",G13-H13,"")</f>
        <v/>
      </c>
      <c r="J13" s="7">
        <f>IF(I13&lt;&gt;"",I13*C13,"")</f>
        <v/>
      </c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4">
        <f>IF(H14&lt;&gt;"",G14-H14,"")</f>
        <v/>
      </c>
      <c r="J14" s="7">
        <f>IF(I14&lt;&gt;"",I14*C14,"")</f>
        <v/>
      </c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4">
        <f>IF(H15&lt;&gt;"",G15-H15,"")</f>
        <v/>
      </c>
      <c r="J15" s="7">
        <f>IF(I15&lt;&gt;"",I15*C15,"")</f>
        <v/>
      </c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4">
        <f>IF(H16&lt;&gt;"",G16-H16,"")</f>
        <v/>
      </c>
      <c r="J16" s="7">
        <f>IF(I16&lt;&gt;"",I16*C16,"")</f>
        <v/>
      </c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4">
        <f>IF(H17&lt;&gt;"",G17-H17,"")</f>
        <v/>
      </c>
      <c r="J17" s="7">
        <f>IF(I17&lt;&gt;"",I17*C17,"")</f>
        <v/>
      </c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4">
        <f>IF(H18&lt;&gt;"",G18-H18,"")</f>
        <v/>
      </c>
      <c r="J18" s="7">
        <f>IF(I18&lt;&gt;"",I18*C18,"")</f>
        <v/>
      </c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4">
        <f>IF(H19&lt;&gt;"",G19-H19,"")</f>
        <v/>
      </c>
      <c r="J19" s="7">
        <f>IF(I19&lt;&gt;"",I19*C19,"")</f>
        <v/>
      </c>
      <c r="K19" s="2" t="n"/>
    </row>
    <row r="22">
      <c r="A22" s="6" t="inlineStr">
        <is>
          <t>PAPER POSITIONS (SHORT — AFEI SWAPS)</t>
        </is>
      </c>
    </row>
    <row r="23">
      <c r="A23" s="1" t="inlineStr">
        <is>
          <t>Trade #</t>
        </is>
      </c>
      <c r="B23" s="1" t="inlineStr">
        <is>
          <t>Product</t>
        </is>
      </c>
      <c r="C23" s="1" t="inlineStr">
        <is>
          <t>Volume (MT)</t>
        </is>
      </c>
      <c r="D23" s="1" t="inlineStr">
        <is>
          <t>Swap Month</t>
        </is>
      </c>
      <c r="E23" s="1" t="inlineStr">
        <is>
          <t>Execution Price ($/mt)</t>
        </is>
      </c>
      <c r="F23" s="1" t="inlineStr">
        <is>
          <t>Current AFEI</t>
        </is>
      </c>
      <c r="G23" s="1" t="inlineStr">
        <is>
          <t>Unrealized P&amp;L ($/mt)</t>
        </is>
      </c>
      <c r="H23" s="1" t="inlineStr">
        <is>
          <t>Unrealized P&amp;L ($)</t>
        </is>
      </c>
      <c r="I23" s="1" t="inlineStr">
        <is>
          <t>Broker</t>
        </is>
      </c>
      <c r="J23" s="1" t="inlineStr">
        <is>
          <t>Hedge Ref</t>
        </is>
      </c>
    </row>
    <row r="24">
      <c r="A24" s="2" t="n"/>
      <c r="B24" s="2" t="n"/>
      <c r="C24" s="2" t="n"/>
      <c r="D24" s="2" t="n"/>
      <c r="E24" s="2" t="n"/>
      <c r="F24" s="2" t="n"/>
      <c r="G24" s="4">
        <f>IF(F24&lt;&gt;"",E24-F24,"")</f>
        <v/>
      </c>
      <c r="H24" s="7">
        <f>IF(G24&lt;&gt;"",G24*C24,"")</f>
        <v/>
      </c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4">
        <f>IF(F25&lt;&gt;"",E25-F25,"")</f>
        <v/>
      </c>
      <c r="H25" s="7">
        <f>IF(G25&lt;&gt;"",G25*C25,"")</f>
        <v/>
      </c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4">
        <f>IF(F26&lt;&gt;"",E26-F26,"")</f>
        <v/>
      </c>
      <c r="H26" s="7">
        <f>IF(G26&lt;&gt;"",G26*C26,"")</f>
        <v/>
      </c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4">
        <f>IF(F27&lt;&gt;"",E27-F27,"")</f>
        <v/>
      </c>
      <c r="H27" s="7">
        <f>IF(G27&lt;&gt;"",G27*C27,"")</f>
        <v/>
      </c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4">
        <f>IF(F28&lt;&gt;"",E28-F28,"")</f>
        <v/>
      </c>
      <c r="H28" s="7">
        <f>IF(G28&lt;&gt;"",G28*C28,"")</f>
        <v/>
      </c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4">
        <f>IF(F29&lt;&gt;"",E29-F29,"")</f>
        <v/>
      </c>
      <c r="H29" s="7">
        <f>IF(G29&lt;&gt;"",G29*C29,"")</f>
        <v/>
      </c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4">
        <f>IF(F30&lt;&gt;"",E30-F30,"")</f>
        <v/>
      </c>
      <c r="H30" s="7">
        <f>IF(G30&lt;&gt;"",G30*C30,"")</f>
        <v/>
      </c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4">
        <f>IF(F31&lt;&gt;"",E31-F31,"")</f>
        <v/>
      </c>
      <c r="H31" s="7">
        <f>IF(G31&lt;&gt;"",G31*C31,"")</f>
        <v/>
      </c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4">
        <f>IF(F32&lt;&gt;"",E32-F32,"")</f>
        <v/>
      </c>
      <c r="H32" s="7">
        <f>IF(G32&lt;&gt;"",G32*C32,"")</f>
        <v/>
      </c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4">
        <f>IF(F33&lt;&gt;"",E33-F33,"")</f>
        <v/>
      </c>
      <c r="H33" s="7">
        <f>IF(G33&lt;&gt;"",G33*C33,"")</f>
        <v/>
      </c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4">
        <f>IF(F34&lt;&gt;"",E34-F34,"")</f>
        <v/>
      </c>
      <c r="H34" s="7">
        <f>IF(G34&lt;&gt;"",G34*C34,"")</f>
        <v/>
      </c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4">
        <f>IF(F35&lt;&gt;"",E35-F35,"")</f>
        <v/>
      </c>
      <c r="H35" s="7">
        <f>IF(G35&lt;&gt;"",G35*C35,"")</f>
        <v/>
      </c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4">
        <f>IF(F36&lt;&gt;"",E36-F36,"")</f>
        <v/>
      </c>
      <c r="H36" s="7">
        <f>IF(G36&lt;&gt;"",G36*C36,"")</f>
        <v/>
      </c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4">
        <f>IF(F37&lt;&gt;"",E37-F37,"")</f>
        <v/>
      </c>
      <c r="H37" s="7">
        <f>IF(G37&lt;&gt;"",G37*C37,"")</f>
        <v/>
      </c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4">
        <f>IF(F38&lt;&gt;"",E38-F38,"")</f>
        <v/>
      </c>
      <c r="H38" s="7">
        <f>IF(G38&lt;&gt;"",G38*C38,"")</f>
        <v/>
      </c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4">
        <f>IF(F39&lt;&gt;"",E39-F39,"")</f>
        <v/>
      </c>
      <c r="H39" s="7">
        <f>IF(G39&lt;&gt;"",G39*C39,"")</f>
        <v/>
      </c>
      <c r="I39" s="2" t="n"/>
      <c r="J39" s="2" t="n"/>
    </row>
    <row r="42">
      <c r="A42" s="6" t="inlineStr">
        <is>
          <t>NET EXPOSURE SUMMARY</t>
        </is>
      </c>
    </row>
    <row r="43">
      <c r="A43" s="1" t="inlineStr">
        <is>
          <t>Month</t>
        </is>
      </c>
      <c r="B43" s="1" t="inlineStr">
        <is>
          <t>Physical Long (MT)</t>
        </is>
      </c>
      <c r="C43" s="1" t="inlineStr">
        <is>
          <t>Paper Short (MT)</t>
        </is>
      </c>
      <c r="D43" s="1" t="inlineStr">
        <is>
          <t>Net Open (MT)</t>
        </is>
      </c>
      <c r="E43" s="1" t="inlineStr">
        <is>
          <t>Hedge Ratio %</t>
        </is>
      </c>
      <c r="F43" s="1" t="inlineStr">
        <is>
          <t>Action Needed</t>
        </is>
      </c>
    </row>
    <row r="44">
      <c r="A44" s="2" t="inlineStr">
        <is>
          <t>May-26</t>
        </is>
      </c>
      <c r="B44" s="2" t="n"/>
      <c r="C44" s="2" t="n"/>
      <c r="D44" s="4">
        <f>B44-C44</f>
        <v/>
      </c>
      <c r="E44" s="8">
        <f>IF(B44&gt;0,C44/B44,"")</f>
        <v/>
      </c>
      <c r="F44" s="4">
        <f>IF(AND(E44&lt;&gt;"",E44&lt;0.8),"UNDER-HEDGED",IF(AND(E44&lt;&gt;"",E44&gt;1.05),"OVER-HEDGED","OK"))</f>
        <v/>
      </c>
    </row>
    <row r="45">
      <c r="A45" s="2" t="inlineStr">
        <is>
          <t>Jun-26</t>
        </is>
      </c>
      <c r="B45" s="2" t="n"/>
      <c r="C45" s="2" t="n"/>
      <c r="D45" s="4">
        <f>B45-C45</f>
        <v/>
      </c>
      <c r="E45" s="8">
        <f>IF(B45&gt;0,C45/B45,"")</f>
        <v/>
      </c>
      <c r="F45" s="4">
        <f>IF(AND(E45&lt;&gt;"",E45&lt;0.8),"UNDER-HEDGED",IF(AND(E45&lt;&gt;"",E45&gt;1.05),"OVER-HEDGED","OK"))</f>
        <v/>
      </c>
    </row>
    <row r="46">
      <c r="A46" s="2" t="inlineStr">
        <is>
          <t>Jul-26</t>
        </is>
      </c>
      <c r="B46" s="2" t="n"/>
      <c r="C46" s="2" t="n"/>
      <c r="D46" s="4">
        <f>B46-C46</f>
        <v/>
      </c>
      <c r="E46" s="8">
        <f>IF(B46&gt;0,C46/B46,"")</f>
        <v/>
      </c>
      <c r="F46" s="4">
        <f>IF(AND(E46&lt;&gt;"",E46&lt;0.8),"UNDER-HEDGED",IF(AND(E46&lt;&gt;"",E46&gt;1.05),"OVER-HEDGED","OK"))</f>
        <v/>
      </c>
    </row>
    <row r="47">
      <c r="A47" s="2" t="inlineStr">
        <is>
          <t>Aug-26</t>
        </is>
      </c>
      <c r="B47" s="2" t="n"/>
      <c r="C47" s="2" t="n"/>
      <c r="D47" s="4">
        <f>B47-C47</f>
        <v/>
      </c>
      <c r="E47" s="8">
        <f>IF(B47&gt;0,C47/B47,"")</f>
        <v/>
      </c>
      <c r="F47" s="4">
        <f>IF(AND(E47&lt;&gt;"",E47&lt;0.8),"UNDER-HEDGED",IF(AND(E47&lt;&gt;"",E47&gt;1.05),"OVER-HEDGED","OK"))</f>
        <v/>
      </c>
    </row>
    <row r="48">
      <c r="A48" s="2" t="inlineStr">
        <is>
          <t>Sep-26</t>
        </is>
      </c>
      <c r="B48" s="2" t="n"/>
      <c r="C48" s="2" t="n"/>
      <c r="D48" s="4">
        <f>B48-C48</f>
        <v/>
      </c>
      <c r="E48" s="8">
        <f>IF(B48&gt;0,C48/B48,"")</f>
        <v/>
      </c>
      <c r="F48" s="4">
        <f>IF(AND(E48&lt;&gt;"",E48&lt;0.8),"UNDER-HEDGED",IF(AND(E48&lt;&gt;"",E48&gt;1.05),"OVER-HEDGED","OK"))</f>
        <v/>
      </c>
    </row>
    <row r="49">
      <c r="A49" s="2" t="inlineStr">
        <is>
          <t>Oct-26</t>
        </is>
      </c>
      <c r="B49" s="2" t="n"/>
      <c r="C49" s="2" t="n"/>
      <c r="D49" s="4">
        <f>B49-C49</f>
        <v/>
      </c>
      <c r="E49" s="8">
        <f>IF(B49&gt;0,C49/B49,"")</f>
        <v/>
      </c>
      <c r="F49" s="4">
        <f>IF(AND(E49&lt;&gt;"",E49&lt;0.8),"UNDER-HEDGED",IF(AND(E49&lt;&gt;"",E49&gt;1.05),"OVER-HEDGED","OK"))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Q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4" customWidth="1" min="12" max="12"/>
    <col width="14" customWidth="1" min="13" max="13"/>
    <col width="12" customWidth="1" min="14" max="14"/>
    <col width="16" customWidth="1" min="15" max="15"/>
    <col width="16" customWidth="1" min="16" max="16"/>
    <col width="20" customWidth="1" min="17" max="17"/>
  </cols>
  <sheetData>
    <row r="1">
      <c r="A1" s="1" t="inlineStr">
        <is>
          <t>Date</t>
        </is>
      </c>
      <c r="B1" s="1" t="inlineStr">
        <is>
          <t>Brent ($/bbl)</t>
        </is>
      </c>
      <c r="C1" s="1" t="inlineStr">
        <is>
          <t>Nymex CL ($/bbl)</t>
        </is>
      </c>
      <c r="D1" s="1" t="inlineStr">
        <is>
          <t>MB Propane (¢/gal)</t>
        </is>
      </c>
      <c r="E1" s="1" t="inlineStr">
        <is>
          <t>MB Butane (¢/gal)</t>
        </is>
      </c>
      <c r="F1" s="1" t="inlineStr">
        <is>
          <t>FEI Propane ($/mt)</t>
        </is>
      </c>
      <c r="G1" s="1" t="inlineStr">
        <is>
          <t>FEI Butane ($/mt)</t>
        </is>
      </c>
      <c r="H1" s="1" t="inlineStr">
        <is>
          <t>AFEI Propane ($/mt)</t>
        </is>
      </c>
      <c r="I1" s="1" t="inlineStr">
        <is>
          <t>AFEI Butane ($/mt)</t>
        </is>
      </c>
      <c r="J1" s="1" t="inlineStr">
        <is>
          <t>Saudi CP Propane ($/mt)</t>
        </is>
      </c>
      <c r="K1" s="1" t="inlineStr">
        <is>
          <t>Saudi CP Butane ($/mt)</t>
        </is>
      </c>
      <c r="L1" s="1" t="inlineStr">
        <is>
          <t>CP-AFEI Spread P</t>
        </is>
      </c>
      <c r="M1" s="1" t="inlineStr">
        <is>
          <t>CP-AFEI Spread B</t>
        </is>
      </c>
      <c r="N1" s="1" t="inlineStr">
        <is>
          <t>C3-C4 Spread</t>
        </is>
      </c>
      <c r="O1" s="1" t="inlineStr">
        <is>
          <t>S.China Delivered ($/mt)</t>
        </is>
      </c>
      <c r="P1" s="1" t="inlineStr">
        <is>
          <t>Vietnam Delivered ($/mt)</t>
        </is>
      </c>
      <c r="Q1" s="1" t="inlineStr">
        <is>
          <t>Notes</t>
        </is>
      </c>
    </row>
    <row r="2">
      <c r="L2" s="9">
        <f>IF(AND(J2&lt;&gt;"",H2&lt;&gt;""),J2-H2,"")</f>
        <v/>
      </c>
      <c r="M2" s="9">
        <f>IF(AND(K2&lt;&gt;"",I2&lt;&gt;""),K2-I2,"")</f>
        <v/>
      </c>
      <c r="N2" s="9">
        <f>IF(AND(H2&lt;&gt;"",I2&lt;&gt;""),H2-I2,"")</f>
        <v/>
      </c>
    </row>
    <row r="3">
      <c r="L3" s="9">
        <f>IF(AND(J3&lt;&gt;"",H3&lt;&gt;""),J3-H3,"")</f>
        <v/>
      </c>
      <c r="M3" s="9">
        <f>IF(AND(K3&lt;&gt;"",I3&lt;&gt;""),K3-I3,"")</f>
        <v/>
      </c>
      <c r="N3" s="9">
        <f>IF(AND(H3&lt;&gt;"",I3&lt;&gt;""),H3-I3,"")</f>
        <v/>
      </c>
    </row>
    <row r="4">
      <c r="L4" s="9">
        <f>IF(AND(J4&lt;&gt;"",H4&lt;&gt;""),J4-H4,"")</f>
        <v/>
      </c>
      <c r="M4" s="9">
        <f>IF(AND(K4&lt;&gt;"",I4&lt;&gt;""),K4-I4,"")</f>
        <v/>
      </c>
      <c r="N4" s="9">
        <f>IF(AND(H4&lt;&gt;"",I4&lt;&gt;""),H4-I4,"")</f>
        <v/>
      </c>
    </row>
    <row r="5">
      <c r="L5" s="9">
        <f>IF(AND(J5&lt;&gt;"",H5&lt;&gt;""),J5-H5,"")</f>
        <v/>
      </c>
      <c r="M5" s="9">
        <f>IF(AND(K5&lt;&gt;"",I5&lt;&gt;""),K5-I5,"")</f>
        <v/>
      </c>
      <c r="N5" s="9">
        <f>IF(AND(H5&lt;&gt;"",I5&lt;&gt;""),H5-I5,"")</f>
        <v/>
      </c>
    </row>
    <row r="6">
      <c r="L6" s="9">
        <f>IF(AND(J6&lt;&gt;"",H6&lt;&gt;""),J6-H6,"")</f>
        <v/>
      </c>
      <c r="M6" s="9">
        <f>IF(AND(K6&lt;&gt;"",I6&lt;&gt;""),K6-I6,"")</f>
        <v/>
      </c>
      <c r="N6" s="9">
        <f>IF(AND(H6&lt;&gt;"",I6&lt;&gt;""),H6-I6,"")</f>
        <v/>
      </c>
    </row>
    <row r="7">
      <c r="L7" s="9">
        <f>IF(AND(J7&lt;&gt;"",H7&lt;&gt;""),J7-H7,"")</f>
        <v/>
      </c>
      <c r="M7" s="9">
        <f>IF(AND(K7&lt;&gt;"",I7&lt;&gt;""),K7-I7,"")</f>
        <v/>
      </c>
      <c r="N7" s="9">
        <f>IF(AND(H7&lt;&gt;"",I7&lt;&gt;""),H7-I7,"")</f>
        <v/>
      </c>
    </row>
    <row r="8">
      <c r="L8" s="9">
        <f>IF(AND(J8&lt;&gt;"",H8&lt;&gt;""),J8-H8,"")</f>
        <v/>
      </c>
      <c r="M8" s="9">
        <f>IF(AND(K8&lt;&gt;"",I8&lt;&gt;""),K8-I8,"")</f>
        <v/>
      </c>
      <c r="N8" s="9">
        <f>IF(AND(H8&lt;&gt;"",I8&lt;&gt;""),H8-I8,"")</f>
        <v/>
      </c>
    </row>
    <row r="9">
      <c r="L9" s="9">
        <f>IF(AND(J9&lt;&gt;"",H9&lt;&gt;""),J9-H9,"")</f>
        <v/>
      </c>
      <c r="M9" s="9">
        <f>IF(AND(K9&lt;&gt;"",I9&lt;&gt;""),K9-I9,"")</f>
        <v/>
      </c>
      <c r="N9" s="9">
        <f>IF(AND(H9&lt;&gt;"",I9&lt;&gt;""),H9-I9,"")</f>
        <v/>
      </c>
    </row>
    <row r="10">
      <c r="L10" s="9">
        <f>IF(AND(J10&lt;&gt;"",H10&lt;&gt;""),J10-H10,"")</f>
        <v/>
      </c>
      <c r="M10" s="9">
        <f>IF(AND(K10&lt;&gt;"",I10&lt;&gt;""),K10-I10,"")</f>
        <v/>
      </c>
      <c r="N10" s="9">
        <f>IF(AND(H10&lt;&gt;"",I10&lt;&gt;""),H10-I10,"")</f>
        <v/>
      </c>
    </row>
    <row r="11">
      <c r="L11" s="9">
        <f>IF(AND(J11&lt;&gt;"",H11&lt;&gt;""),J11-H11,"")</f>
        <v/>
      </c>
      <c r="M11" s="9">
        <f>IF(AND(K11&lt;&gt;"",I11&lt;&gt;""),K11-I11,"")</f>
        <v/>
      </c>
      <c r="N11" s="9">
        <f>IF(AND(H11&lt;&gt;"",I11&lt;&gt;""),H11-I11,"")</f>
        <v/>
      </c>
    </row>
    <row r="12">
      <c r="L12" s="9">
        <f>IF(AND(J12&lt;&gt;"",H12&lt;&gt;""),J12-H12,"")</f>
        <v/>
      </c>
      <c r="M12" s="9">
        <f>IF(AND(K12&lt;&gt;"",I12&lt;&gt;""),K12-I12,"")</f>
        <v/>
      </c>
      <c r="N12" s="9">
        <f>IF(AND(H12&lt;&gt;"",I12&lt;&gt;""),H12-I12,"")</f>
        <v/>
      </c>
    </row>
    <row r="13">
      <c r="L13" s="9">
        <f>IF(AND(J13&lt;&gt;"",H13&lt;&gt;""),J13-H13,"")</f>
        <v/>
      </c>
      <c r="M13" s="9">
        <f>IF(AND(K13&lt;&gt;"",I13&lt;&gt;""),K13-I13,"")</f>
        <v/>
      </c>
      <c r="N13" s="9">
        <f>IF(AND(H13&lt;&gt;"",I13&lt;&gt;""),H13-I13,"")</f>
        <v/>
      </c>
    </row>
    <row r="14">
      <c r="L14" s="9">
        <f>IF(AND(J14&lt;&gt;"",H14&lt;&gt;""),J14-H14,"")</f>
        <v/>
      </c>
      <c r="M14" s="9">
        <f>IF(AND(K14&lt;&gt;"",I14&lt;&gt;""),K14-I14,"")</f>
        <v/>
      </c>
      <c r="N14" s="9">
        <f>IF(AND(H14&lt;&gt;"",I14&lt;&gt;""),H14-I14,"")</f>
        <v/>
      </c>
    </row>
    <row r="15">
      <c r="L15" s="9">
        <f>IF(AND(J15&lt;&gt;"",H15&lt;&gt;""),J15-H15,"")</f>
        <v/>
      </c>
      <c r="M15" s="9">
        <f>IF(AND(K15&lt;&gt;"",I15&lt;&gt;""),K15-I15,"")</f>
        <v/>
      </c>
      <c r="N15" s="9">
        <f>IF(AND(H15&lt;&gt;"",I15&lt;&gt;""),H15-I15,"")</f>
        <v/>
      </c>
    </row>
    <row r="16">
      <c r="L16" s="9">
        <f>IF(AND(J16&lt;&gt;"",H16&lt;&gt;""),J16-H16,"")</f>
        <v/>
      </c>
      <c r="M16" s="9">
        <f>IF(AND(K16&lt;&gt;"",I16&lt;&gt;""),K16-I16,"")</f>
        <v/>
      </c>
      <c r="N16" s="9">
        <f>IF(AND(H16&lt;&gt;"",I16&lt;&gt;""),H16-I16,"")</f>
        <v/>
      </c>
    </row>
    <row r="17">
      <c r="L17" s="9">
        <f>IF(AND(J17&lt;&gt;"",H17&lt;&gt;""),J17-H17,"")</f>
        <v/>
      </c>
      <c r="M17" s="9">
        <f>IF(AND(K17&lt;&gt;"",I17&lt;&gt;""),K17-I17,"")</f>
        <v/>
      </c>
      <c r="N17" s="9">
        <f>IF(AND(H17&lt;&gt;"",I17&lt;&gt;""),H17-I17,"")</f>
        <v/>
      </c>
    </row>
    <row r="18">
      <c r="L18" s="9">
        <f>IF(AND(J18&lt;&gt;"",H18&lt;&gt;""),J18-H18,"")</f>
        <v/>
      </c>
      <c r="M18" s="9">
        <f>IF(AND(K18&lt;&gt;"",I18&lt;&gt;""),K18-I18,"")</f>
        <v/>
      </c>
      <c r="N18" s="9">
        <f>IF(AND(H18&lt;&gt;"",I18&lt;&gt;""),H18-I18,"")</f>
        <v/>
      </c>
    </row>
    <row r="19">
      <c r="L19" s="9">
        <f>IF(AND(J19&lt;&gt;"",H19&lt;&gt;""),J19-H19,"")</f>
        <v/>
      </c>
      <c r="M19" s="9">
        <f>IF(AND(K19&lt;&gt;"",I19&lt;&gt;""),K19-I19,"")</f>
        <v/>
      </c>
      <c r="N19" s="9">
        <f>IF(AND(H19&lt;&gt;"",I19&lt;&gt;""),H19-I19,"")</f>
        <v/>
      </c>
    </row>
    <row r="20">
      <c r="L20" s="9">
        <f>IF(AND(J20&lt;&gt;"",H20&lt;&gt;""),J20-H20,"")</f>
        <v/>
      </c>
      <c r="M20" s="9">
        <f>IF(AND(K20&lt;&gt;"",I20&lt;&gt;""),K20-I20,"")</f>
        <v/>
      </c>
      <c r="N20" s="9">
        <f>IF(AND(H20&lt;&gt;"",I20&lt;&gt;""),H20-I20,"")</f>
        <v/>
      </c>
    </row>
    <row r="21">
      <c r="L21" s="9">
        <f>IF(AND(J21&lt;&gt;"",H21&lt;&gt;""),J21-H21,"")</f>
        <v/>
      </c>
      <c r="M21" s="9">
        <f>IF(AND(K21&lt;&gt;"",I21&lt;&gt;""),K21-I21,"")</f>
        <v/>
      </c>
      <c r="N21" s="9">
        <f>IF(AND(H21&lt;&gt;"",I21&lt;&gt;""),H21-I21,"")</f>
        <v/>
      </c>
    </row>
    <row r="22">
      <c r="L22" s="9">
        <f>IF(AND(J22&lt;&gt;"",H22&lt;&gt;""),J22-H22,"")</f>
        <v/>
      </c>
      <c r="M22" s="9">
        <f>IF(AND(K22&lt;&gt;"",I22&lt;&gt;""),K22-I22,"")</f>
        <v/>
      </c>
      <c r="N22" s="9">
        <f>IF(AND(H22&lt;&gt;"",I22&lt;&gt;""),H22-I22,"")</f>
        <v/>
      </c>
    </row>
    <row r="23">
      <c r="L23" s="9">
        <f>IF(AND(J23&lt;&gt;"",H23&lt;&gt;""),J23-H23,"")</f>
        <v/>
      </c>
      <c r="M23" s="9">
        <f>IF(AND(K23&lt;&gt;"",I23&lt;&gt;""),K23-I23,"")</f>
        <v/>
      </c>
      <c r="N23" s="9">
        <f>IF(AND(H23&lt;&gt;"",I23&lt;&gt;""),H23-I23,"")</f>
        <v/>
      </c>
    </row>
    <row r="24">
      <c r="L24" s="9">
        <f>IF(AND(J24&lt;&gt;"",H24&lt;&gt;""),J24-H24,"")</f>
        <v/>
      </c>
      <c r="M24" s="9">
        <f>IF(AND(K24&lt;&gt;"",I24&lt;&gt;""),K24-I24,"")</f>
        <v/>
      </c>
      <c r="N24" s="9">
        <f>IF(AND(H24&lt;&gt;"",I24&lt;&gt;""),H24-I24,"")</f>
        <v/>
      </c>
    </row>
    <row r="25">
      <c r="L25" s="9">
        <f>IF(AND(J25&lt;&gt;"",H25&lt;&gt;""),J25-H25,"")</f>
        <v/>
      </c>
      <c r="M25" s="9">
        <f>IF(AND(K25&lt;&gt;"",I25&lt;&gt;""),K25-I25,"")</f>
        <v/>
      </c>
      <c r="N25" s="9">
        <f>IF(AND(H25&lt;&gt;"",I25&lt;&gt;""),H25-I25,"")</f>
        <v/>
      </c>
    </row>
    <row r="26">
      <c r="L26" s="9">
        <f>IF(AND(J26&lt;&gt;"",H26&lt;&gt;""),J26-H26,"")</f>
        <v/>
      </c>
      <c r="M26" s="9">
        <f>IF(AND(K26&lt;&gt;"",I26&lt;&gt;""),K26-I26,"")</f>
        <v/>
      </c>
      <c r="N26" s="9">
        <f>IF(AND(H26&lt;&gt;"",I26&lt;&gt;""),H26-I26,"")</f>
        <v/>
      </c>
    </row>
    <row r="27">
      <c r="L27" s="9">
        <f>IF(AND(J27&lt;&gt;"",H27&lt;&gt;""),J27-H27,"")</f>
        <v/>
      </c>
      <c r="M27" s="9">
        <f>IF(AND(K27&lt;&gt;"",I27&lt;&gt;""),K27-I27,"")</f>
        <v/>
      </c>
      <c r="N27" s="9">
        <f>IF(AND(H27&lt;&gt;"",I27&lt;&gt;""),H27-I27,"")</f>
        <v/>
      </c>
    </row>
    <row r="28">
      <c r="L28" s="9">
        <f>IF(AND(J28&lt;&gt;"",H28&lt;&gt;""),J28-H28,"")</f>
        <v/>
      </c>
      <c r="M28" s="9">
        <f>IF(AND(K28&lt;&gt;"",I28&lt;&gt;""),K28-I28,"")</f>
        <v/>
      </c>
      <c r="N28" s="9">
        <f>IF(AND(H28&lt;&gt;"",I28&lt;&gt;""),H28-I28,"")</f>
        <v/>
      </c>
    </row>
    <row r="29">
      <c r="L29" s="9">
        <f>IF(AND(J29&lt;&gt;"",H29&lt;&gt;""),J29-H29,"")</f>
        <v/>
      </c>
      <c r="M29" s="9">
        <f>IF(AND(K29&lt;&gt;"",I29&lt;&gt;""),K29-I29,"")</f>
        <v/>
      </c>
      <c r="N29" s="9">
        <f>IF(AND(H29&lt;&gt;"",I29&lt;&gt;""),H29-I29,"")</f>
        <v/>
      </c>
    </row>
    <row r="30">
      <c r="L30" s="9">
        <f>IF(AND(J30&lt;&gt;"",H30&lt;&gt;""),J30-H30,"")</f>
        <v/>
      </c>
      <c r="M30" s="9">
        <f>IF(AND(K30&lt;&gt;"",I30&lt;&gt;""),K30-I30,"")</f>
        <v/>
      </c>
      <c r="N30" s="9">
        <f>IF(AND(H30&lt;&gt;"",I30&lt;&gt;""),H30-I30,"")</f>
        <v/>
      </c>
    </row>
    <row r="31">
      <c r="L31" s="9">
        <f>IF(AND(J31&lt;&gt;"",H31&lt;&gt;""),J31-H31,"")</f>
        <v/>
      </c>
      <c r="M31" s="9">
        <f>IF(AND(K31&lt;&gt;"",I31&lt;&gt;""),K31-I31,"")</f>
        <v/>
      </c>
      <c r="N31" s="9">
        <f>IF(AND(H31&lt;&gt;"",I31&lt;&gt;""),H31-I31,"")</f>
        <v/>
      </c>
    </row>
    <row r="32">
      <c r="L32" s="9">
        <f>IF(AND(J32&lt;&gt;"",H32&lt;&gt;""),J32-H32,"")</f>
        <v/>
      </c>
      <c r="M32" s="9">
        <f>IF(AND(K32&lt;&gt;"",I32&lt;&gt;""),K32-I32,"")</f>
        <v/>
      </c>
      <c r="N32" s="9">
        <f>IF(AND(H32&lt;&gt;"",I32&lt;&gt;""),H32-I32,"")</f>
        <v/>
      </c>
    </row>
    <row r="33">
      <c r="L33" s="9">
        <f>IF(AND(J33&lt;&gt;"",H33&lt;&gt;""),J33-H33,"")</f>
        <v/>
      </c>
      <c r="M33" s="9">
        <f>IF(AND(K33&lt;&gt;"",I33&lt;&gt;""),K33-I33,"")</f>
        <v/>
      </c>
      <c r="N33" s="9">
        <f>IF(AND(H33&lt;&gt;"",I33&lt;&gt;""),H33-I33,"")</f>
        <v/>
      </c>
    </row>
    <row r="34">
      <c r="L34" s="9">
        <f>IF(AND(J34&lt;&gt;"",H34&lt;&gt;""),J34-H34,"")</f>
        <v/>
      </c>
      <c r="M34" s="9">
        <f>IF(AND(K34&lt;&gt;"",I34&lt;&gt;""),K34-I34,"")</f>
        <v/>
      </c>
      <c r="N34" s="9">
        <f>IF(AND(H34&lt;&gt;"",I34&lt;&gt;""),H34-I34,"")</f>
        <v/>
      </c>
    </row>
    <row r="35">
      <c r="L35" s="9">
        <f>IF(AND(J35&lt;&gt;"",H35&lt;&gt;""),J35-H35,"")</f>
        <v/>
      </c>
      <c r="M35" s="9">
        <f>IF(AND(K35&lt;&gt;"",I35&lt;&gt;""),K35-I35,"")</f>
        <v/>
      </c>
      <c r="N35" s="9">
        <f>IF(AND(H35&lt;&gt;"",I35&lt;&gt;""),H35-I35,"")</f>
        <v/>
      </c>
    </row>
    <row r="36">
      <c r="L36" s="9">
        <f>IF(AND(J36&lt;&gt;"",H36&lt;&gt;""),J36-H36,"")</f>
        <v/>
      </c>
      <c r="M36" s="9">
        <f>IF(AND(K36&lt;&gt;"",I36&lt;&gt;""),K36-I36,"")</f>
        <v/>
      </c>
      <c r="N36" s="9">
        <f>IF(AND(H36&lt;&gt;"",I36&lt;&gt;""),H36-I36,"")</f>
        <v/>
      </c>
    </row>
    <row r="37">
      <c r="L37" s="9">
        <f>IF(AND(J37&lt;&gt;"",H37&lt;&gt;""),J37-H37,"")</f>
        <v/>
      </c>
      <c r="M37" s="9">
        <f>IF(AND(K37&lt;&gt;"",I37&lt;&gt;""),K37-I37,"")</f>
        <v/>
      </c>
      <c r="N37" s="9">
        <f>IF(AND(H37&lt;&gt;"",I37&lt;&gt;""),H37-I37,"")</f>
        <v/>
      </c>
    </row>
    <row r="38">
      <c r="L38" s="9">
        <f>IF(AND(J38&lt;&gt;"",H38&lt;&gt;""),J38-H38,"")</f>
        <v/>
      </c>
      <c r="M38" s="9">
        <f>IF(AND(K38&lt;&gt;"",I38&lt;&gt;""),K38-I38,"")</f>
        <v/>
      </c>
      <c r="N38" s="9">
        <f>IF(AND(H38&lt;&gt;"",I38&lt;&gt;""),H38-I38,"")</f>
        <v/>
      </c>
    </row>
    <row r="39">
      <c r="L39" s="9">
        <f>IF(AND(J39&lt;&gt;"",H39&lt;&gt;""),J39-H39,"")</f>
        <v/>
      </c>
      <c r="M39" s="9">
        <f>IF(AND(K39&lt;&gt;"",I39&lt;&gt;""),K39-I39,"")</f>
        <v/>
      </c>
      <c r="N39" s="9">
        <f>IF(AND(H39&lt;&gt;"",I39&lt;&gt;""),H39-I39,"")</f>
        <v/>
      </c>
    </row>
    <row r="40">
      <c r="L40" s="9">
        <f>IF(AND(J40&lt;&gt;"",H40&lt;&gt;""),J40-H40,"")</f>
        <v/>
      </c>
      <c r="M40" s="9">
        <f>IF(AND(K40&lt;&gt;"",I40&lt;&gt;""),K40-I40,"")</f>
        <v/>
      </c>
      <c r="N40" s="9">
        <f>IF(AND(H40&lt;&gt;"",I40&lt;&gt;""),H40-I40,"")</f>
        <v/>
      </c>
    </row>
    <row r="41">
      <c r="L41" s="9">
        <f>IF(AND(J41&lt;&gt;"",H41&lt;&gt;""),J41-H41,"")</f>
        <v/>
      </c>
      <c r="M41" s="9">
        <f>IF(AND(K41&lt;&gt;"",I41&lt;&gt;""),K41-I41,"")</f>
        <v/>
      </c>
      <c r="N41" s="9">
        <f>IF(AND(H41&lt;&gt;"",I41&lt;&gt;""),H41-I41,"")</f>
        <v/>
      </c>
    </row>
    <row r="42">
      <c r="L42" s="9">
        <f>IF(AND(J42&lt;&gt;"",H42&lt;&gt;""),J42-H42,"")</f>
        <v/>
      </c>
      <c r="M42" s="9">
        <f>IF(AND(K42&lt;&gt;"",I42&lt;&gt;""),K42-I42,"")</f>
        <v/>
      </c>
      <c r="N42" s="9">
        <f>IF(AND(H42&lt;&gt;"",I42&lt;&gt;""),H42-I42,"")</f>
        <v/>
      </c>
    </row>
    <row r="43">
      <c r="L43" s="9">
        <f>IF(AND(J43&lt;&gt;"",H43&lt;&gt;""),J43-H43,"")</f>
        <v/>
      </c>
      <c r="M43" s="9">
        <f>IF(AND(K43&lt;&gt;"",I43&lt;&gt;""),K43-I43,"")</f>
        <v/>
      </c>
      <c r="N43" s="9">
        <f>IF(AND(H43&lt;&gt;"",I43&lt;&gt;""),H43-I43,"")</f>
        <v/>
      </c>
    </row>
    <row r="44">
      <c r="L44" s="9">
        <f>IF(AND(J44&lt;&gt;"",H44&lt;&gt;""),J44-H44,"")</f>
        <v/>
      </c>
      <c r="M44" s="9">
        <f>IF(AND(K44&lt;&gt;"",I44&lt;&gt;""),K44-I44,"")</f>
        <v/>
      </c>
      <c r="N44" s="9">
        <f>IF(AND(H44&lt;&gt;"",I44&lt;&gt;""),H44-I44,"")</f>
        <v/>
      </c>
    </row>
    <row r="45">
      <c r="L45" s="9">
        <f>IF(AND(J45&lt;&gt;"",H45&lt;&gt;""),J45-H45,"")</f>
        <v/>
      </c>
      <c r="M45" s="9">
        <f>IF(AND(K45&lt;&gt;"",I45&lt;&gt;""),K45-I45,"")</f>
        <v/>
      </c>
      <c r="N45" s="9">
        <f>IF(AND(H45&lt;&gt;"",I45&lt;&gt;""),H45-I45,"")</f>
        <v/>
      </c>
    </row>
    <row r="46">
      <c r="L46" s="9">
        <f>IF(AND(J46&lt;&gt;"",H46&lt;&gt;""),J46-H46,"")</f>
        <v/>
      </c>
      <c r="M46" s="9">
        <f>IF(AND(K46&lt;&gt;"",I46&lt;&gt;""),K46-I46,"")</f>
        <v/>
      </c>
      <c r="N46" s="9">
        <f>IF(AND(H46&lt;&gt;"",I46&lt;&gt;""),H46-I46,"")</f>
        <v/>
      </c>
    </row>
    <row r="47">
      <c r="L47" s="9">
        <f>IF(AND(J47&lt;&gt;"",H47&lt;&gt;""),J47-H47,"")</f>
        <v/>
      </c>
      <c r="M47" s="9">
        <f>IF(AND(K47&lt;&gt;"",I47&lt;&gt;""),K47-I47,"")</f>
        <v/>
      </c>
      <c r="N47" s="9">
        <f>IF(AND(H47&lt;&gt;"",I47&lt;&gt;""),H47-I47,"")</f>
        <v/>
      </c>
    </row>
    <row r="48">
      <c r="L48" s="9">
        <f>IF(AND(J48&lt;&gt;"",H48&lt;&gt;""),J48-H48,"")</f>
        <v/>
      </c>
      <c r="M48" s="9">
        <f>IF(AND(K48&lt;&gt;"",I48&lt;&gt;""),K48-I48,"")</f>
        <v/>
      </c>
      <c r="N48" s="9">
        <f>IF(AND(H48&lt;&gt;"",I48&lt;&gt;""),H48-I48,"")</f>
        <v/>
      </c>
    </row>
    <row r="49">
      <c r="L49" s="9">
        <f>IF(AND(J49&lt;&gt;"",H49&lt;&gt;""),J49-H49,"")</f>
        <v/>
      </c>
      <c r="M49" s="9">
        <f>IF(AND(K49&lt;&gt;"",I49&lt;&gt;""),K49-I49,"")</f>
        <v/>
      </c>
      <c r="N49" s="9">
        <f>IF(AND(H49&lt;&gt;"",I49&lt;&gt;""),H49-I49,"")</f>
        <v/>
      </c>
    </row>
    <row r="50">
      <c r="L50" s="9">
        <f>IF(AND(J50&lt;&gt;"",H50&lt;&gt;""),J50-H50,"")</f>
        <v/>
      </c>
      <c r="M50" s="9">
        <f>IF(AND(K50&lt;&gt;"",I50&lt;&gt;""),K50-I50,"")</f>
        <v/>
      </c>
      <c r="N50" s="9">
        <f>IF(AND(H50&lt;&gt;"",I50&lt;&gt;""),H50-I50,"")</f>
        <v/>
      </c>
    </row>
    <row r="51">
      <c r="L51" s="9">
        <f>IF(AND(J51&lt;&gt;"",H51&lt;&gt;""),J51-H51,"")</f>
        <v/>
      </c>
      <c r="M51" s="9">
        <f>IF(AND(K51&lt;&gt;"",I51&lt;&gt;""),K51-I51,"")</f>
        <v/>
      </c>
      <c r="N51" s="9">
        <f>IF(AND(H51&lt;&gt;"",I51&lt;&gt;""),H51-I51,"")</f>
        <v/>
      </c>
    </row>
    <row r="52">
      <c r="L52" s="9">
        <f>IF(AND(J52&lt;&gt;"",H52&lt;&gt;""),J52-H52,"")</f>
        <v/>
      </c>
      <c r="M52" s="9">
        <f>IF(AND(K52&lt;&gt;"",I52&lt;&gt;""),K52-I52,"")</f>
        <v/>
      </c>
      <c r="N52" s="9">
        <f>IF(AND(H52&lt;&gt;"",I52&lt;&gt;""),H52-I52,"")</f>
        <v/>
      </c>
    </row>
    <row r="53">
      <c r="L53" s="9">
        <f>IF(AND(J53&lt;&gt;"",H53&lt;&gt;""),J53-H53,"")</f>
        <v/>
      </c>
      <c r="M53" s="9">
        <f>IF(AND(K53&lt;&gt;"",I53&lt;&gt;""),K53-I53,"")</f>
        <v/>
      </c>
      <c r="N53" s="9">
        <f>IF(AND(H53&lt;&gt;"",I53&lt;&gt;""),H53-I53,"")</f>
        <v/>
      </c>
    </row>
    <row r="54">
      <c r="L54" s="9">
        <f>IF(AND(J54&lt;&gt;"",H54&lt;&gt;""),J54-H54,"")</f>
        <v/>
      </c>
      <c r="M54" s="9">
        <f>IF(AND(K54&lt;&gt;"",I54&lt;&gt;""),K54-I54,"")</f>
        <v/>
      </c>
      <c r="N54" s="9">
        <f>IF(AND(H54&lt;&gt;"",I54&lt;&gt;""),H54-I54,"")</f>
        <v/>
      </c>
    </row>
    <row r="55">
      <c r="L55" s="9">
        <f>IF(AND(J55&lt;&gt;"",H55&lt;&gt;""),J55-H55,"")</f>
        <v/>
      </c>
      <c r="M55" s="9">
        <f>IF(AND(K55&lt;&gt;"",I55&lt;&gt;""),K55-I55,"")</f>
        <v/>
      </c>
      <c r="N55" s="9">
        <f>IF(AND(H55&lt;&gt;"",I55&lt;&gt;""),H55-I55,"")</f>
        <v/>
      </c>
    </row>
    <row r="56">
      <c r="L56" s="9">
        <f>IF(AND(J56&lt;&gt;"",H56&lt;&gt;""),J56-H56,"")</f>
        <v/>
      </c>
      <c r="M56" s="9">
        <f>IF(AND(K56&lt;&gt;"",I56&lt;&gt;""),K56-I56,"")</f>
        <v/>
      </c>
      <c r="N56" s="9">
        <f>IF(AND(H56&lt;&gt;"",I56&lt;&gt;""),H56-I56,"")</f>
        <v/>
      </c>
    </row>
    <row r="57">
      <c r="L57" s="9">
        <f>IF(AND(J57&lt;&gt;"",H57&lt;&gt;""),J57-H57,"")</f>
        <v/>
      </c>
      <c r="M57" s="9">
        <f>IF(AND(K57&lt;&gt;"",I57&lt;&gt;""),K57-I57,"")</f>
        <v/>
      </c>
      <c r="N57" s="9">
        <f>IF(AND(H57&lt;&gt;"",I57&lt;&gt;""),H57-I57,"")</f>
        <v/>
      </c>
    </row>
    <row r="58">
      <c r="L58" s="9">
        <f>IF(AND(J58&lt;&gt;"",H58&lt;&gt;""),J58-H58,"")</f>
        <v/>
      </c>
      <c r="M58" s="9">
        <f>IF(AND(K58&lt;&gt;"",I58&lt;&gt;""),K58-I58,"")</f>
        <v/>
      </c>
      <c r="N58" s="9">
        <f>IF(AND(H58&lt;&gt;"",I58&lt;&gt;""),H58-I58,"")</f>
        <v/>
      </c>
    </row>
    <row r="59">
      <c r="L59" s="9">
        <f>IF(AND(J59&lt;&gt;"",H59&lt;&gt;""),J59-H59,"")</f>
        <v/>
      </c>
      <c r="M59" s="9">
        <f>IF(AND(K59&lt;&gt;"",I59&lt;&gt;""),K59-I59,"")</f>
        <v/>
      </c>
      <c r="N59" s="9">
        <f>IF(AND(H59&lt;&gt;"",I59&lt;&gt;""),H59-I59,"")</f>
        <v/>
      </c>
    </row>
    <row r="60">
      <c r="L60" s="9">
        <f>IF(AND(J60&lt;&gt;"",H60&lt;&gt;""),J60-H60,"")</f>
        <v/>
      </c>
      <c r="M60" s="9">
        <f>IF(AND(K60&lt;&gt;"",I60&lt;&gt;""),K60-I60,"")</f>
        <v/>
      </c>
      <c r="N60" s="9">
        <f>IF(AND(H60&lt;&gt;"",I60&lt;&gt;""),H60-I60,"")</f>
        <v/>
      </c>
    </row>
    <row r="61">
      <c r="L61" s="9">
        <f>IF(AND(J61&lt;&gt;"",H61&lt;&gt;""),J61-H61,"")</f>
        <v/>
      </c>
      <c r="M61" s="9">
        <f>IF(AND(K61&lt;&gt;"",I61&lt;&gt;""),K61-I61,"")</f>
        <v/>
      </c>
      <c r="N61" s="9">
        <f>IF(AND(H61&lt;&gt;"",I61&lt;&gt;""),H61-I61,"")</f>
        <v/>
      </c>
    </row>
    <row r="62">
      <c r="L62" s="9">
        <f>IF(AND(J62&lt;&gt;"",H62&lt;&gt;""),J62-H62,"")</f>
        <v/>
      </c>
      <c r="M62" s="9">
        <f>IF(AND(K62&lt;&gt;"",I62&lt;&gt;""),K62-I62,"")</f>
        <v/>
      </c>
      <c r="N62" s="9">
        <f>IF(AND(H62&lt;&gt;"",I62&lt;&gt;""),H62-I62,"")</f>
        <v/>
      </c>
    </row>
    <row r="63">
      <c r="L63" s="9">
        <f>IF(AND(J63&lt;&gt;"",H63&lt;&gt;""),J63-H63,"")</f>
        <v/>
      </c>
      <c r="M63" s="9">
        <f>IF(AND(K63&lt;&gt;"",I63&lt;&gt;""),K63-I63,"")</f>
        <v/>
      </c>
      <c r="N63" s="9">
        <f>IF(AND(H63&lt;&gt;"",I63&lt;&gt;""),H63-I63,"")</f>
        <v/>
      </c>
    </row>
    <row r="64">
      <c r="L64" s="9">
        <f>IF(AND(J64&lt;&gt;"",H64&lt;&gt;""),J64-H64,"")</f>
        <v/>
      </c>
      <c r="M64" s="9">
        <f>IF(AND(K64&lt;&gt;"",I64&lt;&gt;""),K64-I64,"")</f>
        <v/>
      </c>
      <c r="N64" s="9">
        <f>IF(AND(H64&lt;&gt;"",I64&lt;&gt;""),H64-I64,"")</f>
        <v/>
      </c>
    </row>
    <row r="65">
      <c r="L65" s="9">
        <f>IF(AND(J65&lt;&gt;"",H65&lt;&gt;""),J65-H65,"")</f>
        <v/>
      </c>
      <c r="M65" s="9">
        <f>IF(AND(K65&lt;&gt;"",I65&lt;&gt;""),K65-I65,"")</f>
        <v/>
      </c>
      <c r="N65" s="9">
        <f>IF(AND(H65&lt;&gt;"",I65&lt;&gt;""),H65-I65,"")</f>
        <v/>
      </c>
    </row>
    <row r="66">
      <c r="L66" s="9">
        <f>IF(AND(J66&lt;&gt;"",H66&lt;&gt;""),J66-H66,"")</f>
        <v/>
      </c>
      <c r="M66" s="9">
        <f>IF(AND(K66&lt;&gt;"",I66&lt;&gt;""),K66-I66,"")</f>
        <v/>
      </c>
      <c r="N66" s="9">
        <f>IF(AND(H66&lt;&gt;"",I66&lt;&gt;""),H66-I66,"")</f>
        <v/>
      </c>
    </row>
    <row r="67">
      <c r="L67" s="9">
        <f>IF(AND(J67&lt;&gt;"",H67&lt;&gt;""),J67-H67,"")</f>
        <v/>
      </c>
      <c r="M67" s="9">
        <f>IF(AND(K67&lt;&gt;"",I67&lt;&gt;""),K67-I67,"")</f>
        <v/>
      </c>
      <c r="N67" s="9">
        <f>IF(AND(H67&lt;&gt;"",I67&lt;&gt;""),H67-I67,"")</f>
        <v/>
      </c>
    </row>
    <row r="68">
      <c r="L68" s="9">
        <f>IF(AND(J68&lt;&gt;"",H68&lt;&gt;""),J68-H68,"")</f>
        <v/>
      </c>
      <c r="M68" s="9">
        <f>IF(AND(K68&lt;&gt;"",I68&lt;&gt;""),K68-I68,"")</f>
        <v/>
      </c>
      <c r="N68" s="9">
        <f>IF(AND(H68&lt;&gt;"",I68&lt;&gt;""),H68-I68,"")</f>
        <v/>
      </c>
    </row>
    <row r="69">
      <c r="L69" s="9">
        <f>IF(AND(J69&lt;&gt;"",H69&lt;&gt;""),J69-H69,"")</f>
        <v/>
      </c>
      <c r="M69" s="9">
        <f>IF(AND(K69&lt;&gt;"",I69&lt;&gt;""),K69-I69,"")</f>
        <v/>
      </c>
      <c r="N69" s="9">
        <f>IF(AND(H69&lt;&gt;"",I69&lt;&gt;""),H69-I69,"")</f>
        <v/>
      </c>
    </row>
    <row r="70">
      <c r="L70" s="9">
        <f>IF(AND(J70&lt;&gt;"",H70&lt;&gt;""),J70-H70,"")</f>
        <v/>
      </c>
      <c r="M70" s="9">
        <f>IF(AND(K70&lt;&gt;"",I70&lt;&gt;""),K70-I70,"")</f>
        <v/>
      </c>
      <c r="N70" s="9">
        <f>IF(AND(H70&lt;&gt;"",I70&lt;&gt;""),H70-I70,"")</f>
        <v/>
      </c>
    </row>
    <row r="71">
      <c r="L71" s="9">
        <f>IF(AND(J71&lt;&gt;"",H71&lt;&gt;""),J71-H71,"")</f>
        <v/>
      </c>
      <c r="M71" s="9">
        <f>IF(AND(K71&lt;&gt;"",I71&lt;&gt;""),K71-I71,"")</f>
        <v/>
      </c>
      <c r="N71" s="9">
        <f>IF(AND(H71&lt;&gt;"",I71&lt;&gt;""),H71-I71,"")</f>
        <v/>
      </c>
    </row>
    <row r="72">
      <c r="L72" s="9">
        <f>IF(AND(J72&lt;&gt;"",H72&lt;&gt;""),J72-H72,"")</f>
        <v/>
      </c>
      <c r="M72" s="9">
        <f>IF(AND(K72&lt;&gt;"",I72&lt;&gt;""),K72-I72,"")</f>
        <v/>
      </c>
      <c r="N72" s="9">
        <f>IF(AND(H72&lt;&gt;"",I72&lt;&gt;""),H72-I72,"")</f>
        <v/>
      </c>
    </row>
    <row r="73">
      <c r="L73" s="9">
        <f>IF(AND(J73&lt;&gt;"",H73&lt;&gt;""),J73-H73,"")</f>
        <v/>
      </c>
      <c r="M73" s="9">
        <f>IF(AND(K73&lt;&gt;"",I73&lt;&gt;""),K73-I73,"")</f>
        <v/>
      </c>
      <c r="N73" s="9">
        <f>IF(AND(H73&lt;&gt;"",I73&lt;&gt;""),H73-I73,"")</f>
        <v/>
      </c>
    </row>
    <row r="74">
      <c r="L74" s="9">
        <f>IF(AND(J74&lt;&gt;"",H74&lt;&gt;""),J74-H74,"")</f>
        <v/>
      </c>
      <c r="M74" s="9">
        <f>IF(AND(K74&lt;&gt;"",I74&lt;&gt;""),K74-I74,"")</f>
        <v/>
      </c>
      <c r="N74" s="9">
        <f>IF(AND(H74&lt;&gt;"",I74&lt;&gt;""),H74-I74,"")</f>
        <v/>
      </c>
    </row>
    <row r="75">
      <c r="L75" s="9">
        <f>IF(AND(J75&lt;&gt;"",H75&lt;&gt;""),J75-H75,"")</f>
        <v/>
      </c>
      <c r="M75" s="9">
        <f>IF(AND(K75&lt;&gt;"",I75&lt;&gt;""),K75-I75,"")</f>
        <v/>
      </c>
      <c r="N75" s="9">
        <f>IF(AND(H75&lt;&gt;"",I75&lt;&gt;""),H75-I75,"")</f>
        <v/>
      </c>
    </row>
    <row r="76">
      <c r="L76" s="9">
        <f>IF(AND(J76&lt;&gt;"",H76&lt;&gt;""),J76-H76,"")</f>
        <v/>
      </c>
      <c r="M76" s="9">
        <f>IF(AND(K76&lt;&gt;"",I76&lt;&gt;""),K76-I76,"")</f>
        <v/>
      </c>
      <c r="N76" s="9">
        <f>IF(AND(H76&lt;&gt;"",I76&lt;&gt;""),H76-I76,"")</f>
        <v/>
      </c>
    </row>
    <row r="77">
      <c r="L77" s="9">
        <f>IF(AND(J77&lt;&gt;"",H77&lt;&gt;""),J77-H77,"")</f>
        <v/>
      </c>
      <c r="M77" s="9">
        <f>IF(AND(K77&lt;&gt;"",I77&lt;&gt;""),K77-I77,"")</f>
        <v/>
      </c>
      <c r="N77" s="9">
        <f>IF(AND(H77&lt;&gt;"",I77&lt;&gt;""),H77-I77,"")</f>
        <v/>
      </c>
    </row>
    <row r="78">
      <c r="L78" s="9">
        <f>IF(AND(J78&lt;&gt;"",H78&lt;&gt;""),J78-H78,"")</f>
        <v/>
      </c>
      <c r="M78" s="9">
        <f>IF(AND(K78&lt;&gt;"",I78&lt;&gt;""),K78-I78,"")</f>
        <v/>
      </c>
      <c r="N78" s="9">
        <f>IF(AND(H78&lt;&gt;"",I78&lt;&gt;""),H78-I78,"")</f>
        <v/>
      </c>
    </row>
    <row r="79">
      <c r="L79" s="9">
        <f>IF(AND(J79&lt;&gt;"",H79&lt;&gt;""),J79-H79,"")</f>
        <v/>
      </c>
      <c r="M79" s="9">
        <f>IF(AND(K79&lt;&gt;"",I79&lt;&gt;""),K79-I79,"")</f>
        <v/>
      </c>
      <c r="N79" s="9">
        <f>IF(AND(H79&lt;&gt;"",I79&lt;&gt;""),H79-I79,"")</f>
        <v/>
      </c>
    </row>
    <row r="80">
      <c r="L80" s="9">
        <f>IF(AND(J80&lt;&gt;"",H80&lt;&gt;""),J80-H80,"")</f>
        <v/>
      </c>
      <c r="M80" s="9">
        <f>IF(AND(K80&lt;&gt;"",I80&lt;&gt;""),K80-I80,"")</f>
        <v/>
      </c>
      <c r="N80" s="9">
        <f>IF(AND(H80&lt;&gt;"",I80&lt;&gt;""),H80-I80,"")</f>
        <v/>
      </c>
    </row>
    <row r="81">
      <c r="L81" s="9">
        <f>IF(AND(J81&lt;&gt;"",H81&lt;&gt;""),J81-H81,"")</f>
        <v/>
      </c>
      <c r="M81" s="9">
        <f>IF(AND(K81&lt;&gt;"",I81&lt;&gt;""),K81-I81,"")</f>
        <v/>
      </c>
      <c r="N81" s="9">
        <f>IF(AND(H81&lt;&gt;"",I81&lt;&gt;""),H81-I81,"")</f>
        <v/>
      </c>
    </row>
    <row r="82">
      <c r="L82" s="9">
        <f>IF(AND(J82&lt;&gt;"",H82&lt;&gt;""),J82-H82,"")</f>
        <v/>
      </c>
      <c r="M82" s="9">
        <f>IF(AND(K82&lt;&gt;"",I82&lt;&gt;""),K82-I82,"")</f>
        <v/>
      </c>
      <c r="N82" s="9">
        <f>IF(AND(H82&lt;&gt;"",I82&lt;&gt;""),H82-I82,"")</f>
        <v/>
      </c>
    </row>
    <row r="83">
      <c r="L83" s="9">
        <f>IF(AND(J83&lt;&gt;"",H83&lt;&gt;""),J83-H83,"")</f>
        <v/>
      </c>
      <c r="M83" s="9">
        <f>IF(AND(K83&lt;&gt;"",I83&lt;&gt;""),K83-I83,"")</f>
        <v/>
      </c>
      <c r="N83" s="9">
        <f>IF(AND(H83&lt;&gt;"",I83&lt;&gt;""),H83-I83,"")</f>
        <v/>
      </c>
    </row>
    <row r="84">
      <c r="L84" s="9">
        <f>IF(AND(J84&lt;&gt;"",H84&lt;&gt;""),J84-H84,"")</f>
        <v/>
      </c>
      <c r="M84" s="9">
        <f>IF(AND(K84&lt;&gt;"",I84&lt;&gt;""),K84-I84,"")</f>
        <v/>
      </c>
      <c r="N84" s="9">
        <f>IF(AND(H84&lt;&gt;"",I84&lt;&gt;""),H84-I84,"")</f>
        <v/>
      </c>
    </row>
    <row r="85">
      <c r="L85" s="9">
        <f>IF(AND(J85&lt;&gt;"",H85&lt;&gt;""),J85-H85,"")</f>
        <v/>
      </c>
      <c r="M85" s="9">
        <f>IF(AND(K85&lt;&gt;"",I85&lt;&gt;""),K85-I85,"")</f>
        <v/>
      </c>
      <c r="N85" s="9">
        <f>IF(AND(H85&lt;&gt;"",I85&lt;&gt;""),H85-I85,"")</f>
        <v/>
      </c>
    </row>
    <row r="86">
      <c r="L86" s="9">
        <f>IF(AND(J86&lt;&gt;"",H86&lt;&gt;""),J86-H86,"")</f>
        <v/>
      </c>
      <c r="M86" s="9">
        <f>IF(AND(K86&lt;&gt;"",I86&lt;&gt;""),K86-I86,"")</f>
        <v/>
      </c>
      <c r="N86" s="9">
        <f>IF(AND(H86&lt;&gt;"",I86&lt;&gt;""),H86-I86,"")</f>
        <v/>
      </c>
    </row>
    <row r="87">
      <c r="L87" s="9">
        <f>IF(AND(J87&lt;&gt;"",H87&lt;&gt;""),J87-H87,"")</f>
        <v/>
      </c>
      <c r="M87" s="9">
        <f>IF(AND(K87&lt;&gt;"",I87&lt;&gt;""),K87-I87,"")</f>
        <v/>
      </c>
      <c r="N87" s="9">
        <f>IF(AND(H87&lt;&gt;"",I87&lt;&gt;""),H87-I87,"")</f>
        <v/>
      </c>
    </row>
    <row r="88">
      <c r="L88" s="9">
        <f>IF(AND(J88&lt;&gt;"",H88&lt;&gt;""),J88-H88,"")</f>
        <v/>
      </c>
      <c r="M88" s="9">
        <f>IF(AND(K88&lt;&gt;"",I88&lt;&gt;""),K88-I88,"")</f>
        <v/>
      </c>
      <c r="N88" s="9">
        <f>IF(AND(H88&lt;&gt;"",I88&lt;&gt;""),H88-I88,"")</f>
        <v/>
      </c>
    </row>
    <row r="89">
      <c r="L89" s="9">
        <f>IF(AND(J89&lt;&gt;"",H89&lt;&gt;""),J89-H89,"")</f>
        <v/>
      </c>
      <c r="M89" s="9">
        <f>IF(AND(K89&lt;&gt;"",I89&lt;&gt;""),K89-I89,"")</f>
        <v/>
      </c>
      <c r="N89" s="9">
        <f>IF(AND(H89&lt;&gt;"",I89&lt;&gt;""),H89-I89,"")</f>
        <v/>
      </c>
    </row>
    <row r="90">
      <c r="L90" s="9">
        <f>IF(AND(J90&lt;&gt;"",H90&lt;&gt;""),J90-H90,"")</f>
        <v/>
      </c>
      <c r="M90" s="9">
        <f>IF(AND(K90&lt;&gt;"",I90&lt;&gt;""),K90-I90,"")</f>
        <v/>
      </c>
      <c r="N90" s="9">
        <f>IF(AND(H90&lt;&gt;"",I90&lt;&gt;""),H90-I90,"")</f>
        <v/>
      </c>
    </row>
    <row r="91">
      <c r="L91" s="9">
        <f>IF(AND(J91&lt;&gt;"",H91&lt;&gt;""),J91-H91,"")</f>
        <v/>
      </c>
      <c r="M91" s="9">
        <f>IF(AND(K91&lt;&gt;"",I91&lt;&gt;""),K91-I91,"")</f>
        <v/>
      </c>
      <c r="N91" s="9">
        <f>IF(AND(H91&lt;&gt;"",I91&lt;&gt;""),H91-I91,"")</f>
        <v/>
      </c>
    </row>
    <row r="92">
      <c r="L92" s="9">
        <f>IF(AND(J92&lt;&gt;"",H92&lt;&gt;""),J92-H92,"")</f>
        <v/>
      </c>
      <c r="M92" s="9">
        <f>IF(AND(K92&lt;&gt;"",I92&lt;&gt;""),K92-I92,"")</f>
        <v/>
      </c>
      <c r="N92" s="9">
        <f>IF(AND(H92&lt;&gt;"",I92&lt;&gt;""),H92-I92,"")</f>
        <v/>
      </c>
    </row>
    <row r="93">
      <c r="L93" s="9">
        <f>IF(AND(J93&lt;&gt;"",H93&lt;&gt;""),J93-H93,"")</f>
        <v/>
      </c>
      <c r="M93" s="9">
        <f>IF(AND(K93&lt;&gt;"",I93&lt;&gt;""),K93-I93,"")</f>
        <v/>
      </c>
      <c r="N93" s="9">
        <f>IF(AND(H93&lt;&gt;"",I93&lt;&gt;""),H93-I93,"")</f>
        <v/>
      </c>
    </row>
    <row r="94">
      <c r="L94" s="9">
        <f>IF(AND(J94&lt;&gt;"",H94&lt;&gt;""),J94-H94,"")</f>
        <v/>
      </c>
      <c r="M94" s="9">
        <f>IF(AND(K94&lt;&gt;"",I94&lt;&gt;""),K94-I94,"")</f>
        <v/>
      </c>
      <c r="N94" s="9">
        <f>IF(AND(H94&lt;&gt;"",I94&lt;&gt;""),H94-I94,"")</f>
        <v/>
      </c>
    </row>
    <row r="95">
      <c r="L95" s="9">
        <f>IF(AND(J95&lt;&gt;"",H95&lt;&gt;""),J95-H95,"")</f>
        <v/>
      </c>
      <c r="M95" s="9">
        <f>IF(AND(K95&lt;&gt;"",I95&lt;&gt;""),K95-I95,"")</f>
        <v/>
      </c>
      <c r="N95" s="9">
        <f>IF(AND(H95&lt;&gt;"",I95&lt;&gt;""),H95-I95,"")</f>
        <v/>
      </c>
    </row>
    <row r="96">
      <c r="L96" s="9">
        <f>IF(AND(J96&lt;&gt;"",H96&lt;&gt;""),J96-H96,"")</f>
        <v/>
      </c>
      <c r="M96" s="9">
        <f>IF(AND(K96&lt;&gt;"",I96&lt;&gt;""),K96-I96,"")</f>
        <v/>
      </c>
      <c r="N96" s="9">
        <f>IF(AND(H96&lt;&gt;"",I96&lt;&gt;""),H96-I96,"")</f>
        <v/>
      </c>
    </row>
    <row r="97">
      <c r="L97" s="9">
        <f>IF(AND(J97&lt;&gt;"",H97&lt;&gt;""),J97-H97,"")</f>
        <v/>
      </c>
      <c r="M97" s="9">
        <f>IF(AND(K97&lt;&gt;"",I97&lt;&gt;""),K97-I97,"")</f>
        <v/>
      </c>
      <c r="N97" s="9">
        <f>IF(AND(H97&lt;&gt;"",I97&lt;&gt;""),H97-I97,"")</f>
        <v/>
      </c>
    </row>
    <row r="98">
      <c r="L98" s="9">
        <f>IF(AND(J98&lt;&gt;"",H98&lt;&gt;""),J98-H98,"")</f>
        <v/>
      </c>
      <c r="M98" s="9">
        <f>IF(AND(K98&lt;&gt;"",I98&lt;&gt;""),K98-I98,"")</f>
        <v/>
      </c>
      <c r="N98" s="9">
        <f>IF(AND(H98&lt;&gt;"",I98&lt;&gt;""),H98-I98,"")</f>
        <v/>
      </c>
    </row>
    <row r="99">
      <c r="L99" s="9">
        <f>IF(AND(J99&lt;&gt;"",H99&lt;&gt;""),J99-H99,"")</f>
        <v/>
      </c>
      <c r="M99" s="9">
        <f>IF(AND(K99&lt;&gt;"",I99&lt;&gt;""),K99-I99,"")</f>
        <v/>
      </c>
      <c r="N99" s="9">
        <f>IF(AND(H99&lt;&gt;"",I99&lt;&gt;""),H99-I99,"")</f>
        <v/>
      </c>
    </row>
    <row r="100">
      <c r="L100" s="9">
        <f>IF(AND(J100&lt;&gt;"",H100&lt;&gt;""),J100-H100,"")</f>
        <v/>
      </c>
      <c r="M100" s="9">
        <f>IF(AND(K100&lt;&gt;"",I100&lt;&gt;""),K100-I100,"")</f>
        <v/>
      </c>
      <c r="N100" s="9">
        <f>IF(AND(H100&lt;&gt;"",I100&lt;&gt;""),H100-I100,"")</f>
        <v/>
      </c>
    </row>
    <row r="101">
      <c r="L101" s="9">
        <f>IF(AND(J101&lt;&gt;"",H101&lt;&gt;""),J101-H101,"")</f>
        <v/>
      </c>
      <c r="M101" s="9">
        <f>IF(AND(K101&lt;&gt;"",I101&lt;&gt;""),K101-I101,"")</f>
        <v/>
      </c>
      <c r="N101" s="9">
        <f>IF(AND(H101&lt;&gt;"",I101&lt;&gt;""),H101-I101,"")</f>
        <v/>
      </c>
    </row>
    <row r="102">
      <c r="L102" s="9">
        <f>IF(AND(J102&lt;&gt;"",H102&lt;&gt;""),J102-H102,"")</f>
        <v/>
      </c>
      <c r="M102" s="9">
        <f>IF(AND(K102&lt;&gt;"",I102&lt;&gt;""),K102-I102,"")</f>
        <v/>
      </c>
      <c r="N102" s="9">
        <f>IF(AND(H102&lt;&gt;"",I102&lt;&gt;""),H102-I102,"")</f>
        <v/>
      </c>
    </row>
    <row r="103">
      <c r="L103" s="9">
        <f>IF(AND(J103&lt;&gt;"",H103&lt;&gt;""),J103-H103,"")</f>
        <v/>
      </c>
      <c r="M103" s="9">
        <f>IF(AND(K103&lt;&gt;"",I103&lt;&gt;""),K103-I103,"")</f>
        <v/>
      </c>
      <c r="N103" s="9">
        <f>IF(AND(H103&lt;&gt;"",I103&lt;&gt;""),H103-I103,"")</f>
        <v/>
      </c>
    </row>
    <row r="104">
      <c r="L104" s="9">
        <f>IF(AND(J104&lt;&gt;"",H104&lt;&gt;""),J104-H104,"")</f>
        <v/>
      </c>
      <c r="M104" s="9">
        <f>IF(AND(K104&lt;&gt;"",I104&lt;&gt;""),K104-I104,"")</f>
        <v/>
      </c>
      <c r="N104" s="9">
        <f>IF(AND(H104&lt;&gt;"",I104&lt;&gt;""),H104-I104,"")</f>
        <v/>
      </c>
    </row>
    <row r="105">
      <c r="L105" s="9">
        <f>IF(AND(J105&lt;&gt;"",H105&lt;&gt;""),J105-H105,"")</f>
        <v/>
      </c>
      <c r="M105" s="9">
        <f>IF(AND(K105&lt;&gt;"",I105&lt;&gt;""),K105-I105,"")</f>
        <v/>
      </c>
      <c r="N105" s="9">
        <f>IF(AND(H105&lt;&gt;"",I105&lt;&gt;""),H105-I105,"")</f>
        <v/>
      </c>
    </row>
    <row r="106">
      <c r="L106" s="9">
        <f>IF(AND(J106&lt;&gt;"",H106&lt;&gt;""),J106-H106,"")</f>
        <v/>
      </c>
      <c r="M106" s="9">
        <f>IF(AND(K106&lt;&gt;"",I106&lt;&gt;""),K106-I106,"")</f>
        <v/>
      </c>
      <c r="N106" s="9">
        <f>IF(AND(H106&lt;&gt;"",I106&lt;&gt;""),H106-I106,"")</f>
        <v/>
      </c>
    </row>
    <row r="107">
      <c r="L107" s="9">
        <f>IF(AND(J107&lt;&gt;"",H107&lt;&gt;""),J107-H107,"")</f>
        <v/>
      </c>
      <c r="M107" s="9">
        <f>IF(AND(K107&lt;&gt;"",I107&lt;&gt;""),K107-I107,"")</f>
        <v/>
      </c>
      <c r="N107" s="9">
        <f>IF(AND(H107&lt;&gt;"",I107&lt;&gt;""),H107-I107,"")</f>
        <v/>
      </c>
    </row>
    <row r="108">
      <c r="L108" s="9">
        <f>IF(AND(J108&lt;&gt;"",H108&lt;&gt;""),J108-H108,"")</f>
        <v/>
      </c>
      <c r="M108" s="9">
        <f>IF(AND(K108&lt;&gt;"",I108&lt;&gt;""),K108-I108,"")</f>
        <v/>
      </c>
      <c r="N108" s="9">
        <f>IF(AND(H108&lt;&gt;"",I108&lt;&gt;""),H108-I108,"")</f>
        <v/>
      </c>
    </row>
    <row r="109">
      <c r="L109" s="9">
        <f>IF(AND(J109&lt;&gt;"",H109&lt;&gt;""),J109-H109,"")</f>
        <v/>
      </c>
      <c r="M109" s="9">
        <f>IF(AND(K109&lt;&gt;"",I109&lt;&gt;""),K109-I109,"")</f>
        <v/>
      </c>
      <c r="N109" s="9">
        <f>IF(AND(H109&lt;&gt;"",I109&lt;&gt;""),H109-I109,"")</f>
        <v/>
      </c>
    </row>
    <row r="110">
      <c r="L110" s="9">
        <f>IF(AND(J110&lt;&gt;"",H110&lt;&gt;""),J110-H110,"")</f>
        <v/>
      </c>
      <c r="M110" s="9">
        <f>IF(AND(K110&lt;&gt;"",I110&lt;&gt;""),K110-I110,"")</f>
        <v/>
      </c>
      <c r="N110" s="9">
        <f>IF(AND(H110&lt;&gt;"",I110&lt;&gt;""),H110-I110,"")</f>
        <v/>
      </c>
    </row>
    <row r="111">
      <c r="L111" s="9">
        <f>IF(AND(J111&lt;&gt;"",H111&lt;&gt;""),J111-H111,"")</f>
        <v/>
      </c>
      <c r="M111" s="9">
        <f>IF(AND(K111&lt;&gt;"",I111&lt;&gt;""),K111-I111,"")</f>
        <v/>
      </c>
      <c r="N111" s="9">
        <f>IF(AND(H111&lt;&gt;"",I111&lt;&gt;""),H111-I111,"")</f>
        <v/>
      </c>
    </row>
    <row r="112">
      <c r="L112" s="9">
        <f>IF(AND(J112&lt;&gt;"",H112&lt;&gt;""),J112-H112,"")</f>
        <v/>
      </c>
      <c r="M112" s="9">
        <f>IF(AND(K112&lt;&gt;"",I112&lt;&gt;""),K112-I112,"")</f>
        <v/>
      </c>
      <c r="N112" s="9">
        <f>IF(AND(H112&lt;&gt;"",I112&lt;&gt;""),H112-I112,"")</f>
        <v/>
      </c>
    </row>
    <row r="113">
      <c r="L113" s="9">
        <f>IF(AND(J113&lt;&gt;"",H113&lt;&gt;""),J113-H113,"")</f>
        <v/>
      </c>
      <c r="M113" s="9">
        <f>IF(AND(K113&lt;&gt;"",I113&lt;&gt;""),K113-I113,"")</f>
        <v/>
      </c>
      <c r="N113" s="9">
        <f>IF(AND(H113&lt;&gt;"",I113&lt;&gt;""),H113-I113,"")</f>
        <v/>
      </c>
    </row>
    <row r="114">
      <c r="L114" s="9">
        <f>IF(AND(J114&lt;&gt;"",H114&lt;&gt;""),J114-H114,"")</f>
        <v/>
      </c>
      <c r="M114" s="9">
        <f>IF(AND(K114&lt;&gt;"",I114&lt;&gt;""),K114-I114,"")</f>
        <v/>
      </c>
      <c r="N114" s="9">
        <f>IF(AND(H114&lt;&gt;"",I114&lt;&gt;""),H114-I114,"")</f>
        <v/>
      </c>
    </row>
    <row r="115">
      <c r="L115" s="9">
        <f>IF(AND(J115&lt;&gt;"",H115&lt;&gt;""),J115-H115,"")</f>
        <v/>
      </c>
      <c r="M115" s="9">
        <f>IF(AND(K115&lt;&gt;"",I115&lt;&gt;""),K115-I115,"")</f>
        <v/>
      </c>
      <c r="N115" s="9">
        <f>IF(AND(H115&lt;&gt;"",I115&lt;&gt;""),H115-I115,"")</f>
        <v/>
      </c>
    </row>
    <row r="116">
      <c r="L116" s="9">
        <f>IF(AND(J116&lt;&gt;"",H116&lt;&gt;""),J116-H116,"")</f>
        <v/>
      </c>
      <c r="M116" s="9">
        <f>IF(AND(K116&lt;&gt;"",I116&lt;&gt;""),K116-I116,"")</f>
        <v/>
      </c>
      <c r="N116" s="9">
        <f>IF(AND(H116&lt;&gt;"",I116&lt;&gt;""),H116-I116,"")</f>
        <v/>
      </c>
    </row>
    <row r="117">
      <c r="L117" s="9">
        <f>IF(AND(J117&lt;&gt;"",H117&lt;&gt;""),J117-H117,"")</f>
        <v/>
      </c>
      <c r="M117" s="9">
        <f>IF(AND(K117&lt;&gt;"",I117&lt;&gt;""),K117-I117,"")</f>
        <v/>
      </c>
      <c r="N117" s="9">
        <f>IF(AND(H117&lt;&gt;"",I117&lt;&gt;""),H117-I117,"")</f>
        <v/>
      </c>
    </row>
    <row r="118">
      <c r="L118" s="9">
        <f>IF(AND(J118&lt;&gt;"",H118&lt;&gt;""),J118-H118,"")</f>
        <v/>
      </c>
      <c r="M118" s="9">
        <f>IF(AND(K118&lt;&gt;"",I118&lt;&gt;""),K118-I118,"")</f>
        <v/>
      </c>
      <c r="N118" s="9">
        <f>IF(AND(H118&lt;&gt;"",I118&lt;&gt;""),H118-I118,"")</f>
        <v/>
      </c>
    </row>
    <row r="119">
      <c r="L119" s="9">
        <f>IF(AND(J119&lt;&gt;"",H119&lt;&gt;""),J119-H119,"")</f>
        <v/>
      </c>
      <c r="M119" s="9">
        <f>IF(AND(K119&lt;&gt;"",I119&lt;&gt;""),K119-I119,"")</f>
        <v/>
      </c>
      <c r="N119" s="9">
        <f>IF(AND(H119&lt;&gt;"",I119&lt;&gt;""),H119-I119,"")</f>
        <v/>
      </c>
    </row>
    <row r="120">
      <c r="L120" s="9">
        <f>IF(AND(J120&lt;&gt;"",H120&lt;&gt;""),J120-H120,"")</f>
        <v/>
      </c>
      <c r="M120" s="9">
        <f>IF(AND(K120&lt;&gt;"",I120&lt;&gt;""),K120-I120,"")</f>
        <v/>
      </c>
      <c r="N120" s="9">
        <f>IF(AND(H120&lt;&gt;"",I120&lt;&gt;""),H120-I120,"")</f>
        <v/>
      </c>
    </row>
    <row r="121">
      <c r="L121" s="9">
        <f>IF(AND(J121&lt;&gt;"",H121&lt;&gt;""),J121-H121,"")</f>
        <v/>
      </c>
      <c r="M121" s="9">
        <f>IF(AND(K121&lt;&gt;"",I121&lt;&gt;""),K121-I121,"")</f>
        <v/>
      </c>
      <c r="N121" s="9">
        <f>IF(AND(H121&lt;&gt;"",I121&lt;&gt;""),H121-I121,"")</f>
        <v/>
      </c>
    </row>
    <row r="122">
      <c r="L122" s="9">
        <f>IF(AND(J122&lt;&gt;"",H122&lt;&gt;""),J122-H122,"")</f>
        <v/>
      </c>
      <c r="M122" s="9">
        <f>IF(AND(K122&lt;&gt;"",I122&lt;&gt;""),K122-I122,"")</f>
        <v/>
      </c>
      <c r="N122" s="9">
        <f>IF(AND(H122&lt;&gt;"",I122&lt;&gt;""),H122-I122,"")</f>
        <v/>
      </c>
    </row>
    <row r="123">
      <c r="L123" s="9">
        <f>IF(AND(J123&lt;&gt;"",H123&lt;&gt;""),J123-H123,"")</f>
        <v/>
      </c>
      <c r="M123" s="9">
        <f>IF(AND(K123&lt;&gt;"",I123&lt;&gt;""),K123-I123,"")</f>
        <v/>
      </c>
      <c r="N123" s="9">
        <f>IF(AND(H123&lt;&gt;"",I123&lt;&gt;""),H123-I123,"")</f>
        <v/>
      </c>
    </row>
    <row r="124">
      <c r="L124" s="9">
        <f>IF(AND(J124&lt;&gt;"",H124&lt;&gt;""),J124-H124,"")</f>
        <v/>
      </c>
      <c r="M124" s="9">
        <f>IF(AND(K124&lt;&gt;"",I124&lt;&gt;""),K124-I124,"")</f>
        <v/>
      </c>
      <c r="N124" s="9">
        <f>IF(AND(H124&lt;&gt;"",I124&lt;&gt;""),H124-I124,"")</f>
        <v/>
      </c>
    </row>
    <row r="125">
      <c r="L125" s="9">
        <f>IF(AND(J125&lt;&gt;"",H125&lt;&gt;""),J125-H125,"")</f>
        <v/>
      </c>
      <c r="M125" s="9">
        <f>IF(AND(K125&lt;&gt;"",I125&lt;&gt;""),K125-I125,"")</f>
        <v/>
      </c>
      <c r="N125" s="9">
        <f>IF(AND(H125&lt;&gt;"",I125&lt;&gt;""),H125-I125,"")</f>
        <v/>
      </c>
    </row>
    <row r="126">
      <c r="L126" s="9">
        <f>IF(AND(J126&lt;&gt;"",H126&lt;&gt;""),J126-H126,"")</f>
        <v/>
      </c>
      <c r="M126" s="9">
        <f>IF(AND(K126&lt;&gt;"",I126&lt;&gt;""),K126-I126,"")</f>
        <v/>
      </c>
      <c r="N126" s="9">
        <f>IF(AND(H126&lt;&gt;"",I126&lt;&gt;""),H126-I126,"")</f>
        <v/>
      </c>
    </row>
    <row r="127">
      <c r="L127" s="9">
        <f>IF(AND(J127&lt;&gt;"",H127&lt;&gt;""),J127-H127,"")</f>
        <v/>
      </c>
      <c r="M127" s="9">
        <f>IF(AND(K127&lt;&gt;"",I127&lt;&gt;""),K127-I127,"")</f>
        <v/>
      </c>
      <c r="N127" s="9">
        <f>IF(AND(H127&lt;&gt;"",I127&lt;&gt;""),H127-I127,"")</f>
        <v/>
      </c>
    </row>
    <row r="128">
      <c r="L128" s="9">
        <f>IF(AND(J128&lt;&gt;"",H128&lt;&gt;""),J128-H128,"")</f>
        <v/>
      </c>
      <c r="M128" s="9">
        <f>IF(AND(K128&lt;&gt;"",I128&lt;&gt;""),K128-I128,"")</f>
        <v/>
      </c>
      <c r="N128" s="9">
        <f>IF(AND(H128&lt;&gt;"",I128&lt;&gt;""),H128-I128,"")</f>
        <v/>
      </c>
    </row>
    <row r="129">
      <c r="L129" s="9">
        <f>IF(AND(J129&lt;&gt;"",H129&lt;&gt;""),J129-H129,"")</f>
        <v/>
      </c>
      <c r="M129" s="9">
        <f>IF(AND(K129&lt;&gt;"",I129&lt;&gt;""),K129-I129,"")</f>
        <v/>
      </c>
      <c r="N129" s="9">
        <f>IF(AND(H129&lt;&gt;"",I129&lt;&gt;""),H129-I129,"")</f>
        <v/>
      </c>
    </row>
    <row r="130">
      <c r="L130" s="9">
        <f>IF(AND(J130&lt;&gt;"",H130&lt;&gt;""),J130-H130,"")</f>
        <v/>
      </c>
      <c r="M130" s="9">
        <f>IF(AND(K130&lt;&gt;"",I130&lt;&gt;""),K130-I130,"")</f>
        <v/>
      </c>
      <c r="N130" s="9">
        <f>IF(AND(H130&lt;&gt;"",I130&lt;&gt;""),H130-I130,"")</f>
        <v/>
      </c>
    </row>
    <row r="131">
      <c r="L131" s="9">
        <f>IF(AND(J131&lt;&gt;"",H131&lt;&gt;""),J131-H131,"")</f>
        <v/>
      </c>
      <c r="M131" s="9">
        <f>IF(AND(K131&lt;&gt;"",I131&lt;&gt;""),K131-I131,"")</f>
        <v/>
      </c>
      <c r="N131" s="9">
        <f>IF(AND(H131&lt;&gt;"",I131&lt;&gt;""),H131-I131,"")</f>
        <v/>
      </c>
    </row>
    <row r="132">
      <c r="L132" s="9">
        <f>IF(AND(J132&lt;&gt;"",H132&lt;&gt;""),J132-H132,"")</f>
        <v/>
      </c>
      <c r="M132" s="9">
        <f>IF(AND(K132&lt;&gt;"",I132&lt;&gt;""),K132-I132,"")</f>
        <v/>
      </c>
      <c r="N132" s="9">
        <f>IF(AND(H132&lt;&gt;"",I132&lt;&gt;""),H132-I132,"")</f>
        <v/>
      </c>
    </row>
    <row r="133">
      <c r="L133" s="9">
        <f>IF(AND(J133&lt;&gt;"",H133&lt;&gt;""),J133-H133,"")</f>
        <v/>
      </c>
      <c r="M133" s="9">
        <f>IF(AND(K133&lt;&gt;"",I133&lt;&gt;""),K133-I133,"")</f>
        <v/>
      </c>
      <c r="N133" s="9">
        <f>IF(AND(H133&lt;&gt;"",I133&lt;&gt;""),H133-I133,"")</f>
        <v/>
      </c>
    </row>
    <row r="134">
      <c r="L134" s="9">
        <f>IF(AND(J134&lt;&gt;"",H134&lt;&gt;""),J134-H134,"")</f>
        <v/>
      </c>
      <c r="M134" s="9">
        <f>IF(AND(K134&lt;&gt;"",I134&lt;&gt;""),K134-I134,"")</f>
        <v/>
      </c>
      <c r="N134" s="9">
        <f>IF(AND(H134&lt;&gt;"",I134&lt;&gt;""),H134-I134,"")</f>
        <v/>
      </c>
    </row>
    <row r="135">
      <c r="L135" s="9">
        <f>IF(AND(J135&lt;&gt;"",H135&lt;&gt;""),J135-H135,"")</f>
        <v/>
      </c>
      <c r="M135" s="9">
        <f>IF(AND(K135&lt;&gt;"",I135&lt;&gt;""),K135-I135,"")</f>
        <v/>
      </c>
      <c r="N135" s="9">
        <f>IF(AND(H135&lt;&gt;"",I135&lt;&gt;""),H135-I135,"")</f>
        <v/>
      </c>
    </row>
    <row r="136">
      <c r="L136" s="9">
        <f>IF(AND(J136&lt;&gt;"",H136&lt;&gt;""),J136-H136,"")</f>
        <v/>
      </c>
      <c r="M136" s="9">
        <f>IF(AND(K136&lt;&gt;"",I136&lt;&gt;""),K136-I136,"")</f>
        <v/>
      </c>
      <c r="N136" s="9">
        <f>IF(AND(H136&lt;&gt;"",I136&lt;&gt;""),H136-I136,"")</f>
        <v/>
      </c>
    </row>
    <row r="137">
      <c r="L137" s="9">
        <f>IF(AND(J137&lt;&gt;"",H137&lt;&gt;""),J137-H137,"")</f>
        <v/>
      </c>
      <c r="M137" s="9">
        <f>IF(AND(K137&lt;&gt;"",I137&lt;&gt;""),K137-I137,"")</f>
        <v/>
      </c>
      <c r="N137" s="9">
        <f>IF(AND(H137&lt;&gt;"",I137&lt;&gt;""),H137-I137,"")</f>
        <v/>
      </c>
    </row>
    <row r="138">
      <c r="L138" s="9">
        <f>IF(AND(J138&lt;&gt;"",H138&lt;&gt;""),J138-H138,"")</f>
        <v/>
      </c>
      <c r="M138" s="9">
        <f>IF(AND(K138&lt;&gt;"",I138&lt;&gt;""),K138-I138,"")</f>
        <v/>
      </c>
      <c r="N138" s="9">
        <f>IF(AND(H138&lt;&gt;"",I138&lt;&gt;""),H138-I138,"")</f>
        <v/>
      </c>
    </row>
    <row r="139">
      <c r="L139" s="9">
        <f>IF(AND(J139&lt;&gt;"",H139&lt;&gt;""),J139-H139,"")</f>
        <v/>
      </c>
      <c r="M139" s="9">
        <f>IF(AND(K139&lt;&gt;"",I139&lt;&gt;""),K139-I139,"")</f>
        <v/>
      </c>
      <c r="N139" s="9">
        <f>IF(AND(H139&lt;&gt;"",I139&lt;&gt;""),H139-I139,"")</f>
        <v/>
      </c>
    </row>
    <row r="140">
      <c r="L140" s="9">
        <f>IF(AND(J140&lt;&gt;"",H140&lt;&gt;""),J140-H140,"")</f>
        <v/>
      </c>
      <c r="M140" s="9">
        <f>IF(AND(K140&lt;&gt;"",I140&lt;&gt;""),K140-I140,"")</f>
        <v/>
      </c>
      <c r="N140" s="9">
        <f>IF(AND(H140&lt;&gt;"",I140&lt;&gt;""),H140-I140,"")</f>
        <v/>
      </c>
    </row>
    <row r="141">
      <c r="L141" s="9">
        <f>IF(AND(J141&lt;&gt;"",H141&lt;&gt;""),J141-H141,"")</f>
        <v/>
      </c>
      <c r="M141" s="9">
        <f>IF(AND(K141&lt;&gt;"",I141&lt;&gt;""),K141-I141,"")</f>
        <v/>
      </c>
      <c r="N141" s="9">
        <f>IF(AND(H141&lt;&gt;"",I141&lt;&gt;""),H141-I141,"")</f>
        <v/>
      </c>
    </row>
    <row r="142">
      <c r="L142" s="9">
        <f>IF(AND(J142&lt;&gt;"",H142&lt;&gt;""),J142-H142,"")</f>
        <v/>
      </c>
      <c r="M142" s="9">
        <f>IF(AND(K142&lt;&gt;"",I142&lt;&gt;""),K142-I142,"")</f>
        <v/>
      </c>
      <c r="N142" s="9">
        <f>IF(AND(H142&lt;&gt;"",I142&lt;&gt;""),H142-I142,"")</f>
        <v/>
      </c>
    </row>
    <row r="143">
      <c r="L143" s="9">
        <f>IF(AND(J143&lt;&gt;"",H143&lt;&gt;""),J143-H143,"")</f>
        <v/>
      </c>
      <c r="M143" s="9">
        <f>IF(AND(K143&lt;&gt;"",I143&lt;&gt;""),K143-I143,"")</f>
        <v/>
      </c>
      <c r="N143" s="9">
        <f>IF(AND(H143&lt;&gt;"",I143&lt;&gt;""),H143-I143,"")</f>
        <v/>
      </c>
    </row>
    <row r="144">
      <c r="L144" s="9">
        <f>IF(AND(J144&lt;&gt;"",H144&lt;&gt;""),J144-H144,"")</f>
        <v/>
      </c>
      <c r="M144" s="9">
        <f>IF(AND(K144&lt;&gt;"",I144&lt;&gt;""),K144-I144,"")</f>
        <v/>
      </c>
      <c r="N144" s="9">
        <f>IF(AND(H144&lt;&gt;"",I144&lt;&gt;""),H144-I144,"")</f>
        <v/>
      </c>
    </row>
    <row r="145">
      <c r="L145" s="9">
        <f>IF(AND(J145&lt;&gt;"",H145&lt;&gt;""),J145-H145,"")</f>
        <v/>
      </c>
      <c r="M145" s="9">
        <f>IF(AND(K145&lt;&gt;"",I145&lt;&gt;""),K145-I145,"")</f>
        <v/>
      </c>
      <c r="N145" s="9">
        <f>IF(AND(H145&lt;&gt;"",I145&lt;&gt;""),H145-I145,"")</f>
        <v/>
      </c>
    </row>
    <row r="146">
      <c r="L146" s="9">
        <f>IF(AND(J146&lt;&gt;"",H146&lt;&gt;""),J146-H146,"")</f>
        <v/>
      </c>
      <c r="M146" s="9">
        <f>IF(AND(K146&lt;&gt;"",I146&lt;&gt;""),K146-I146,"")</f>
        <v/>
      </c>
      <c r="N146" s="9">
        <f>IF(AND(H146&lt;&gt;"",I146&lt;&gt;""),H146-I146,"")</f>
        <v/>
      </c>
    </row>
    <row r="147">
      <c r="L147" s="9">
        <f>IF(AND(J147&lt;&gt;"",H147&lt;&gt;""),J147-H147,"")</f>
        <v/>
      </c>
      <c r="M147" s="9">
        <f>IF(AND(K147&lt;&gt;"",I147&lt;&gt;""),K147-I147,"")</f>
        <v/>
      </c>
      <c r="N147" s="9">
        <f>IF(AND(H147&lt;&gt;"",I147&lt;&gt;""),H147-I147,"")</f>
        <v/>
      </c>
    </row>
    <row r="148">
      <c r="L148" s="9">
        <f>IF(AND(J148&lt;&gt;"",H148&lt;&gt;""),J148-H148,"")</f>
        <v/>
      </c>
      <c r="M148" s="9">
        <f>IF(AND(K148&lt;&gt;"",I148&lt;&gt;""),K148-I148,"")</f>
        <v/>
      </c>
      <c r="N148" s="9">
        <f>IF(AND(H148&lt;&gt;"",I148&lt;&gt;""),H148-I148,"")</f>
        <v/>
      </c>
    </row>
    <row r="149">
      <c r="L149" s="9">
        <f>IF(AND(J149&lt;&gt;"",H149&lt;&gt;""),J149-H149,"")</f>
        <v/>
      </c>
      <c r="M149" s="9">
        <f>IF(AND(K149&lt;&gt;"",I149&lt;&gt;""),K149-I149,"")</f>
        <v/>
      </c>
      <c r="N149" s="9">
        <f>IF(AND(H149&lt;&gt;"",I149&lt;&gt;""),H149-I149,"")</f>
        <v/>
      </c>
    </row>
    <row r="150">
      <c r="L150" s="9">
        <f>IF(AND(J150&lt;&gt;"",H150&lt;&gt;""),J150-H150,"")</f>
        <v/>
      </c>
      <c r="M150" s="9">
        <f>IF(AND(K150&lt;&gt;"",I150&lt;&gt;""),K150-I150,"")</f>
        <v/>
      </c>
      <c r="N150" s="9">
        <f>IF(AND(H150&lt;&gt;"",I150&lt;&gt;""),H150-I150,"")</f>
        <v/>
      </c>
    </row>
    <row r="151">
      <c r="L151" s="9">
        <f>IF(AND(J151&lt;&gt;"",H151&lt;&gt;""),J151-H151,"")</f>
        <v/>
      </c>
      <c r="M151" s="9">
        <f>IF(AND(K151&lt;&gt;"",I151&lt;&gt;""),K151-I151,"")</f>
        <v/>
      </c>
      <c r="N151" s="9">
        <f>IF(AND(H151&lt;&gt;"",I151&lt;&gt;""),H151-I151,"")</f>
        <v/>
      </c>
    </row>
    <row r="152">
      <c r="L152" s="9">
        <f>IF(AND(J152&lt;&gt;"",H152&lt;&gt;""),J152-H152,"")</f>
        <v/>
      </c>
      <c r="M152" s="9">
        <f>IF(AND(K152&lt;&gt;"",I152&lt;&gt;""),K152-I152,"")</f>
        <v/>
      </c>
      <c r="N152" s="9">
        <f>IF(AND(H152&lt;&gt;"",I152&lt;&gt;""),H152-I152,"")</f>
        <v/>
      </c>
    </row>
    <row r="153">
      <c r="L153" s="9">
        <f>IF(AND(J153&lt;&gt;"",H153&lt;&gt;""),J153-H153,"")</f>
        <v/>
      </c>
      <c r="M153" s="9">
        <f>IF(AND(K153&lt;&gt;"",I153&lt;&gt;""),K153-I153,"")</f>
        <v/>
      </c>
      <c r="N153" s="9">
        <f>IF(AND(H153&lt;&gt;"",I153&lt;&gt;""),H153-I153,"")</f>
        <v/>
      </c>
    </row>
    <row r="154">
      <c r="L154" s="9">
        <f>IF(AND(J154&lt;&gt;"",H154&lt;&gt;""),J154-H154,"")</f>
        <v/>
      </c>
      <c r="M154" s="9">
        <f>IF(AND(K154&lt;&gt;"",I154&lt;&gt;""),K154-I154,"")</f>
        <v/>
      </c>
      <c r="N154" s="9">
        <f>IF(AND(H154&lt;&gt;"",I154&lt;&gt;""),H154-I154,"")</f>
        <v/>
      </c>
    </row>
    <row r="155">
      <c r="L155" s="9">
        <f>IF(AND(J155&lt;&gt;"",H155&lt;&gt;""),J155-H155,"")</f>
        <v/>
      </c>
      <c r="M155" s="9">
        <f>IF(AND(K155&lt;&gt;"",I155&lt;&gt;""),K155-I155,"")</f>
        <v/>
      </c>
      <c r="N155" s="9">
        <f>IF(AND(H155&lt;&gt;"",I155&lt;&gt;""),H155-I155,"")</f>
        <v/>
      </c>
    </row>
    <row r="156">
      <c r="L156" s="9">
        <f>IF(AND(J156&lt;&gt;"",H156&lt;&gt;""),J156-H156,"")</f>
        <v/>
      </c>
      <c r="M156" s="9">
        <f>IF(AND(K156&lt;&gt;"",I156&lt;&gt;""),K156-I156,"")</f>
        <v/>
      </c>
      <c r="N156" s="9">
        <f>IF(AND(H156&lt;&gt;"",I156&lt;&gt;""),H156-I156,"")</f>
        <v/>
      </c>
    </row>
    <row r="157">
      <c r="L157" s="9">
        <f>IF(AND(J157&lt;&gt;"",H157&lt;&gt;""),J157-H157,"")</f>
        <v/>
      </c>
      <c r="M157" s="9">
        <f>IF(AND(K157&lt;&gt;"",I157&lt;&gt;""),K157-I157,"")</f>
        <v/>
      </c>
      <c r="N157" s="9">
        <f>IF(AND(H157&lt;&gt;"",I157&lt;&gt;""),H157-I157,"")</f>
        <v/>
      </c>
    </row>
    <row r="158">
      <c r="L158" s="9">
        <f>IF(AND(J158&lt;&gt;"",H158&lt;&gt;""),J158-H158,"")</f>
        <v/>
      </c>
      <c r="M158" s="9">
        <f>IF(AND(K158&lt;&gt;"",I158&lt;&gt;""),K158-I158,"")</f>
        <v/>
      </c>
      <c r="N158" s="9">
        <f>IF(AND(H158&lt;&gt;"",I158&lt;&gt;""),H158-I158,"")</f>
        <v/>
      </c>
    </row>
    <row r="159">
      <c r="L159" s="9">
        <f>IF(AND(J159&lt;&gt;"",H159&lt;&gt;""),J159-H159,"")</f>
        <v/>
      </c>
      <c r="M159" s="9">
        <f>IF(AND(K159&lt;&gt;"",I159&lt;&gt;""),K159-I159,"")</f>
        <v/>
      </c>
      <c r="N159" s="9">
        <f>IF(AND(H159&lt;&gt;"",I159&lt;&gt;""),H159-I159,"")</f>
        <v/>
      </c>
    </row>
    <row r="160">
      <c r="L160" s="9">
        <f>IF(AND(J160&lt;&gt;"",H160&lt;&gt;""),J160-H160,"")</f>
        <v/>
      </c>
      <c r="M160" s="9">
        <f>IF(AND(K160&lt;&gt;"",I160&lt;&gt;""),K160-I160,"")</f>
        <v/>
      </c>
      <c r="N160" s="9">
        <f>IF(AND(H160&lt;&gt;"",I160&lt;&gt;""),H160-I160,"")</f>
        <v/>
      </c>
    </row>
    <row r="161">
      <c r="L161" s="9">
        <f>IF(AND(J161&lt;&gt;"",H161&lt;&gt;""),J161-H161,"")</f>
        <v/>
      </c>
      <c r="M161" s="9">
        <f>IF(AND(K161&lt;&gt;"",I161&lt;&gt;""),K161-I161,"")</f>
        <v/>
      </c>
      <c r="N161" s="9">
        <f>IF(AND(H161&lt;&gt;"",I161&lt;&gt;""),H161-I161,"")</f>
        <v/>
      </c>
    </row>
    <row r="162">
      <c r="L162" s="9">
        <f>IF(AND(J162&lt;&gt;"",H162&lt;&gt;""),J162-H162,"")</f>
        <v/>
      </c>
      <c r="M162" s="9">
        <f>IF(AND(K162&lt;&gt;"",I162&lt;&gt;""),K162-I162,"")</f>
        <v/>
      </c>
      <c r="N162" s="9">
        <f>IF(AND(H162&lt;&gt;"",I162&lt;&gt;""),H162-I162,"")</f>
        <v/>
      </c>
    </row>
    <row r="163">
      <c r="L163" s="9">
        <f>IF(AND(J163&lt;&gt;"",H163&lt;&gt;""),J163-H163,"")</f>
        <v/>
      </c>
      <c r="M163" s="9">
        <f>IF(AND(K163&lt;&gt;"",I163&lt;&gt;""),K163-I163,"")</f>
        <v/>
      </c>
      <c r="N163" s="9">
        <f>IF(AND(H163&lt;&gt;"",I163&lt;&gt;""),H163-I163,"")</f>
        <v/>
      </c>
    </row>
    <row r="164">
      <c r="L164" s="9">
        <f>IF(AND(J164&lt;&gt;"",H164&lt;&gt;""),J164-H164,"")</f>
        <v/>
      </c>
      <c r="M164" s="9">
        <f>IF(AND(K164&lt;&gt;"",I164&lt;&gt;""),K164-I164,"")</f>
        <v/>
      </c>
      <c r="N164" s="9">
        <f>IF(AND(H164&lt;&gt;"",I164&lt;&gt;""),H164-I164,"")</f>
        <v/>
      </c>
    </row>
    <row r="165">
      <c r="L165" s="9">
        <f>IF(AND(J165&lt;&gt;"",H165&lt;&gt;""),J165-H165,"")</f>
        <v/>
      </c>
      <c r="M165" s="9">
        <f>IF(AND(K165&lt;&gt;"",I165&lt;&gt;""),K165-I165,"")</f>
        <v/>
      </c>
      <c r="N165" s="9">
        <f>IF(AND(H165&lt;&gt;"",I165&lt;&gt;""),H165-I165,"")</f>
        <v/>
      </c>
    </row>
    <row r="166">
      <c r="L166" s="9">
        <f>IF(AND(J166&lt;&gt;"",H166&lt;&gt;""),J166-H166,"")</f>
        <v/>
      </c>
      <c r="M166" s="9">
        <f>IF(AND(K166&lt;&gt;"",I166&lt;&gt;""),K166-I166,"")</f>
        <v/>
      </c>
      <c r="N166" s="9">
        <f>IF(AND(H166&lt;&gt;"",I166&lt;&gt;""),H166-I166,"")</f>
        <v/>
      </c>
    </row>
    <row r="167">
      <c r="L167" s="9">
        <f>IF(AND(J167&lt;&gt;"",H167&lt;&gt;""),J167-H167,"")</f>
        <v/>
      </c>
      <c r="M167" s="9">
        <f>IF(AND(K167&lt;&gt;"",I167&lt;&gt;""),K167-I167,"")</f>
        <v/>
      </c>
      <c r="N167" s="9">
        <f>IF(AND(H167&lt;&gt;"",I167&lt;&gt;""),H167-I167,"")</f>
        <v/>
      </c>
    </row>
    <row r="168">
      <c r="L168" s="9">
        <f>IF(AND(J168&lt;&gt;"",H168&lt;&gt;""),J168-H168,"")</f>
        <v/>
      </c>
      <c r="M168" s="9">
        <f>IF(AND(K168&lt;&gt;"",I168&lt;&gt;""),K168-I168,"")</f>
        <v/>
      </c>
      <c r="N168" s="9">
        <f>IF(AND(H168&lt;&gt;"",I168&lt;&gt;""),H168-I168,"")</f>
        <v/>
      </c>
    </row>
    <row r="169">
      <c r="L169" s="9">
        <f>IF(AND(J169&lt;&gt;"",H169&lt;&gt;""),J169-H169,"")</f>
        <v/>
      </c>
      <c r="M169" s="9">
        <f>IF(AND(K169&lt;&gt;"",I169&lt;&gt;""),K169-I169,"")</f>
        <v/>
      </c>
      <c r="N169" s="9">
        <f>IF(AND(H169&lt;&gt;"",I169&lt;&gt;""),H169-I169,"")</f>
        <v/>
      </c>
    </row>
    <row r="170">
      <c r="L170" s="9">
        <f>IF(AND(J170&lt;&gt;"",H170&lt;&gt;""),J170-H170,"")</f>
        <v/>
      </c>
      <c r="M170" s="9">
        <f>IF(AND(K170&lt;&gt;"",I170&lt;&gt;""),K170-I170,"")</f>
        <v/>
      </c>
      <c r="N170" s="9">
        <f>IF(AND(H170&lt;&gt;"",I170&lt;&gt;""),H170-I170,"")</f>
        <v/>
      </c>
    </row>
    <row r="171">
      <c r="L171" s="9">
        <f>IF(AND(J171&lt;&gt;"",H171&lt;&gt;""),J171-H171,"")</f>
        <v/>
      </c>
      <c r="M171" s="9">
        <f>IF(AND(K171&lt;&gt;"",I171&lt;&gt;""),K171-I171,"")</f>
        <v/>
      </c>
      <c r="N171" s="9">
        <f>IF(AND(H171&lt;&gt;"",I171&lt;&gt;""),H171-I171,"")</f>
        <v/>
      </c>
    </row>
    <row r="172">
      <c r="L172" s="9">
        <f>IF(AND(J172&lt;&gt;"",H172&lt;&gt;""),J172-H172,"")</f>
        <v/>
      </c>
      <c r="M172" s="9">
        <f>IF(AND(K172&lt;&gt;"",I172&lt;&gt;""),K172-I172,"")</f>
        <v/>
      </c>
      <c r="N172" s="9">
        <f>IF(AND(H172&lt;&gt;"",I172&lt;&gt;""),H172-I172,"")</f>
        <v/>
      </c>
    </row>
    <row r="173">
      <c r="L173" s="9">
        <f>IF(AND(J173&lt;&gt;"",H173&lt;&gt;""),J173-H173,"")</f>
        <v/>
      </c>
      <c r="M173" s="9">
        <f>IF(AND(K173&lt;&gt;"",I173&lt;&gt;""),K173-I173,"")</f>
        <v/>
      </c>
      <c r="N173" s="9">
        <f>IF(AND(H173&lt;&gt;"",I173&lt;&gt;""),H173-I173,"")</f>
        <v/>
      </c>
    </row>
    <row r="174">
      <c r="L174" s="9">
        <f>IF(AND(J174&lt;&gt;"",H174&lt;&gt;""),J174-H174,"")</f>
        <v/>
      </c>
      <c r="M174" s="9">
        <f>IF(AND(K174&lt;&gt;"",I174&lt;&gt;""),K174-I174,"")</f>
        <v/>
      </c>
      <c r="N174" s="9">
        <f>IF(AND(H174&lt;&gt;"",I174&lt;&gt;""),H174-I174,"")</f>
        <v/>
      </c>
    </row>
    <row r="175">
      <c r="L175" s="9">
        <f>IF(AND(J175&lt;&gt;"",H175&lt;&gt;""),J175-H175,"")</f>
        <v/>
      </c>
      <c r="M175" s="9">
        <f>IF(AND(K175&lt;&gt;"",I175&lt;&gt;""),K175-I175,"")</f>
        <v/>
      </c>
      <c r="N175" s="9">
        <f>IF(AND(H175&lt;&gt;"",I175&lt;&gt;""),H175-I175,"")</f>
        <v/>
      </c>
    </row>
    <row r="176">
      <c r="L176" s="9">
        <f>IF(AND(J176&lt;&gt;"",H176&lt;&gt;""),J176-H176,"")</f>
        <v/>
      </c>
      <c r="M176" s="9">
        <f>IF(AND(K176&lt;&gt;"",I176&lt;&gt;""),K176-I176,"")</f>
        <v/>
      </c>
      <c r="N176" s="9">
        <f>IF(AND(H176&lt;&gt;"",I176&lt;&gt;""),H176-I176,"")</f>
        <v/>
      </c>
    </row>
    <row r="177">
      <c r="L177" s="9">
        <f>IF(AND(J177&lt;&gt;"",H177&lt;&gt;""),J177-H177,"")</f>
        <v/>
      </c>
      <c r="M177" s="9">
        <f>IF(AND(K177&lt;&gt;"",I177&lt;&gt;""),K177-I177,"")</f>
        <v/>
      </c>
      <c r="N177" s="9">
        <f>IF(AND(H177&lt;&gt;"",I177&lt;&gt;""),H177-I177,"")</f>
        <v/>
      </c>
    </row>
    <row r="178">
      <c r="L178" s="9">
        <f>IF(AND(J178&lt;&gt;"",H178&lt;&gt;""),J178-H178,"")</f>
        <v/>
      </c>
      <c r="M178" s="9">
        <f>IF(AND(K178&lt;&gt;"",I178&lt;&gt;""),K178-I178,"")</f>
        <v/>
      </c>
      <c r="N178" s="9">
        <f>IF(AND(H178&lt;&gt;"",I178&lt;&gt;""),H178-I178,"")</f>
        <v/>
      </c>
    </row>
    <row r="179">
      <c r="L179" s="9">
        <f>IF(AND(J179&lt;&gt;"",H179&lt;&gt;""),J179-H179,"")</f>
        <v/>
      </c>
      <c r="M179" s="9">
        <f>IF(AND(K179&lt;&gt;"",I179&lt;&gt;""),K179-I179,"")</f>
        <v/>
      </c>
      <c r="N179" s="9">
        <f>IF(AND(H179&lt;&gt;"",I179&lt;&gt;""),H179-I179,"")</f>
        <v/>
      </c>
    </row>
    <row r="180">
      <c r="L180" s="9">
        <f>IF(AND(J180&lt;&gt;"",H180&lt;&gt;""),J180-H180,"")</f>
        <v/>
      </c>
      <c r="M180" s="9">
        <f>IF(AND(K180&lt;&gt;"",I180&lt;&gt;""),K180-I180,"")</f>
        <v/>
      </c>
      <c r="N180" s="9">
        <f>IF(AND(H180&lt;&gt;"",I180&lt;&gt;""),H180-I180,"")</f>
        <v/>
      </c>
    </row>
    <row r="181">
      <c r="L181" s="9">
        <f>IF(AND(J181&lt;&gt;"",H181&lt;&gt;""),J181-H181,"")</f>
        <v/>
      </c>
      <c r="M181" s="9">
        <f>IF(AND(K181&lt;&gt;"",I181&lt;&gt;""),K181-I181,"")</f>
        <v/>
      </c>
      <c r="N181" s="9">
        <f>IF(AND(H181&lt;&gt;"",I181&lt;&gt;""),H181-I181,"")</f>
        <v/>
      </c>
    </row>
    <row r="182">
      <c r="L182" s="9">
        <f>IF(AND(J182&lt;&gt;"",H182&lt;&gt;""),J182-H182,"")</f>
        <v/>
      </c>
      <c r="M182" s="9">
        <f>IF(AND(K182&lt;&gt;"",I182&lt;&gt;""),K182-I182,"")</f>
        <v/>
      </c>
      <c r="N182" s="9">
        <f>IF(AND(H182&lt;&gt;"",I182&lt;&gt;""),H182-I182,"")</f>
        <v/>
      </c>
    </row>
    <row r="183">
      <c r="L183" s="9">
        <f>IF(AND(J183&lt;&gt;"",H183&lt;&gt;""),J183-H183,"")</f>
        <v/>
      </c>
      <c r="M183" s="9">
        <f>IF(AND(K183&lt;&gt;"",I183&lt;&gt;""),K183-I183,"")</f>
        <v/>
      </c>
      <c r="N183" s="9">
        <f>IF(AND(H183&lt;&gt;"",I183&lt;&gt;""),H183-I183,"")</f>
        <v/>
      </c>
    </row>
    <row r="184">
      <c r="L184" s="9">
        <f>IF(AND(J184&lt;&gt;"",H184&lt;&gt;""),J184-H184,"")</f>
        <v/>
      </c>
      <c r="M184" s="9">
        <f>IF(AND(K184&lt;&gt;"",I184&lt;&gt;""),K184-I184,"")</f>
        <v/>
      </c>
      <c r="N184" s="9">
        <f>IF(AND(H184&lt;&gt;"",I184&lt;&gt;""),H184-I184,"")</f>
        <v/>
      </c>
    </row>
    <row r="185">
      <c r="L185" s="9">
        <f>IF(AND(J185&lt;&gt;"",H185&lt;&gt;""),J185-H185,"")</f>
        <v/>
      </c>
      <c r="M185" s="9">
        <f>IF(AND(K185&lt;&gt;"",I185&lt;&gt;""),K185-I185,"")</f>
        <v/>
      </c>
      <c r="N185" s="9">
        <f>IF(AND(H185&lt;&gt;"",I185&lt;&gt;""),H185-I185,"")</f>
        <v/>
      </c>
    </row>
    <row r="186">
      <c r="L186" s="9">
        <f>IF(AND(J186&lt;&gt;"",H186&lt;&gt;""),J186-H186,"")</f>
        <v/>
      </c>
      <c r="M186" s="9">
        <f>IF(AND(K186&lt;&gt;"",I186&lt;&gt;""),K186-I186,"")</f>
        <v/>
      </c>
      <c r="N186" s="9">
        <f>IF(AND(H186&lt;&gt;"",I186&lt;&gt;""),H186-I186,"")</f>
        <v/>
      </c>
    </row>
    <row r="187">
      <c r="L187" s="9">
        <f>IF(AND(J187&lt;&gt;"",H187&lt;&gt;""),J187-H187,"")</f>
        <v/>
      </c>
      <c r="M187" s="9">
        <f>IF(AND(K187&lt;&gt;"",I187&lt;&gt;""),K187-I187,"")</f>
        <v/>
      </c>
      <c r="N187" s="9">
        <f>IF(AND(H187&lt;&gt;"",I187&lt;&gt;""),H187-I187,"")</f>
        <v/>
      </c>
    </row>
    <row r="188">
      <c r="L188" s="9">
        <f>IF(AND(J188&lt;&gt;"",H188&lt;&gt;""),J188-H188,"")</f>
        <v/>
      </c>
      <c r="M188" s="9">
        <f>IF(AND(K188&lt;&gt;"",I188&lt;&gt;""),K188-I188,"")</f>
        <v/>
      </c>
      <c r="N188" s="9">
        <f>IF(AND(H188&lt;&gt;"",I188&lt;&gt;""),H188-I188,"")</f>
        <v/>
      </c>
    </row>
    <row r="189">
      <c r="L189" s="9">
        <f>IF(AND(J189&lt;&gt;"",H189&lt;&gt;""),J189-H189,"")</f>
        <v/>
      </c>
      <c r="M189" s="9">
        <f>IF(AND(K189&lt;&gt;"",I189&lt;&gt;""),K189-I189,"")</f>
        <v/>
      </c>
      <c r="N189" s="9">
        <f>IF(AND(H189&lt;&gt;"",I189&lt;&gt;""),H189-I189,"")</f>
        <v/>
      </c>
    </row>
    <row r="190">
      <c r="L190" s="9">
        <f>IF(AND(J190&lt;&gt;"",H190&lt;&gt;""),J190-H190,"")</f>
        <v/>
      </c>
      <c r="M190" s="9">
        <f>IF(AND(K190&lt;&gt;"",I190&lt;&gt;""),K190-I190,"")</f>
        <v/>
      </c>
      <c r="N190" s="9">
        <f>IF(AND(H190&lt;&gt;"",I190&lt;&gt;""),H190-I190,"")</f>
        <v/>
      </c>
    </row>
    <row r="191">
      <c r="L191" s="9">
        <f>IF(AND(J191&lt;&gt;"",H191&lt;&gt;""),J191-H191,"")</f>
        <v/>
      </c>
      <c r="M191" s="9">
        <f>IF(AND(K191&lt;&gt;"",I191&lt;&gt;""),K191-I191,"")</f>
        <v/>
      </c>
      <c r="N191" s="9">
        <f>IF(AND(H191&lt;&gt;"",I191&lt;&gt;""),H191-I191,"")</f>
        <v/>
      </c>
    </row>
    <row r="192">
      <c r="L192" s="9">
        <f>IF(AND(J192&lt;&gt;"",H192&lt;&gt;""),J192-H192,"")</f>
        <v/>
      </c>
      <c r="M192" s="9">
        <f>IF(AND(K192&lt;&gt;"",I192&lt;&gt;""),K192-I192,"")</f>
        <v/>
      </c>
      <c r="N192" s="9">
        <f>IF(AND(H192&lt;&gt;"",I192&lt;&gt;""),H192-I192,"")</f>
        <v/>
      </c>
    </row>
    <row r="193">
      <c r="L193" s="9">
        <f>IF(AND(J193&lt;&gt;"",H193&lt;&gt;""),J193-H193,"")</f>
        <v/>
      </c>
      <c r="M193" s="9">
        <f>IF(AND(K193&lt;&gt;"",I193&lt;&gt;""),K193-I193,"")</f>
        <v/>
      </c>
      <c r="N193" s="9">
        <f>IF(AND(H193&lt;&gt;"",I193&lt;&gt;""),H193-I193,"")</f>
        <v/>
      </c>
    </row>
    <row r="194">
      <c r="L194" s="9">
        <f>IF(AND(J194&lt;&gt;"",H194&lt;&gt;""),J194-H194,"")</f>
        <v/>
      </c>
      <c r="M194" s="9">
        <f>IF(AND(K194&lt;&gt;"",I194&lt;&gt;""),K194-I194,"")</f>
        <v/>
      </c>
      <c r="N194" s="9">
        <f>IF(AND(H194&lt;&gt;"",I194&lt;&gt;""),H194-I194,"")</f>
        <v/>
      </c>
    </row>
    <row r="195">
      <c r="L195" s="9">
        <f>IF(AND(J195&lt;&gt;"",H195&lt;&gt;""),J195-H195,"")</f>
        <v/>
      </c>
      <c r="M195" s="9">
        <f>IF(AND(K195&lt;&gt;"",I195&lt;&gt;""),K195-I195,"")</f>
        <v/>
      </c>
      <c r="N195" s="9">
        <f>IF(AND(H195&lt;&gt;"",I195&lt;&gt;""),H195-I195,"")</f>
        <v/>
      </c>
    </row>
    <row r="196">
      <c r="L196" s="9">
        <f>IF(AND(J196&lt;&gt;"",H196&lt;&gt;""),J196-H196,"")</f>
        <v/>
      </c>
      <c r="M196" s="9">
        <f>IF(AND(K196&lt;&gt;"",I196&lt;&gt;""),K196-I196,"")</f>
        <v/>
      </c>
      <c r="N196" s="9">
        <f>IF(AND(H196&lt;&gt;"",I196&lt;&gt;""),H196-I196,"")</f>
        <v/>
      </c>
    </row>
    <row r="197">
      <c r="L197" s="9">
        <f>IF(AND(J197&lt;&gt;"",H197&lt;&gt;""),J197-H197,"")</f>
        <v/>
      </c>
      <c r="M197" s="9">
        <f>IF(AND(K197&lt;&gt;"",I197&lt;&gt;""),K197-I197,"")</f>
        <v/>
      </c>
      <c r="N197" s="9">
        <f>IF(AND(H197&lt;&gt;"",I197&lt;&gt;""),H197-I197,"")</f>
        <v/>
      </c>
    </row>
    <row r="198">
      <c r="L198" s="9">
        <f>IF(AND(J198&lt;&gt;"",H198&lt;&gt;""),J198-H198,"")</f>
        <v/>
      </c>
      <c r="M198" s="9">
        <f>IF(AND(K198&lt;&gt;"",I198&lt;&gt;""),K198-I198,"")</f>
        <v/>
      </c>
      <c r="N198" s="9">
        <f>IF(AND(H198&lt;&gt;"",I198&lt;&gt;""),H198-I198,"")</f>
        <v/>
      </c>
    </row>
    <row r="199">
      <c r="L199" s="9">
        <f>IF(AND(J199&lt;&gt;"",H199&lt;&gt;""),J199-H199,"")</f>
        <v/>
      </c>
      <c r="M199" s="9">
        <f>IF(AND(K199&lt;&gt;"",I199&lt;&gt;""),K199-I199,"")</f>
        <v/>
      </c>
      <c r="N199" s="9">
        <f>IF(AND(H199&lt;&gt;"",I199&lt;&gt;""),H199-I199,"")</f>
        <v/>
      </c>
    </row>
    <row r="200">
      <c r="L200" s="9">
        <f>IF(AND(J200&lt;&gt;"",H200&lt;&gt;""),J200-H200,"")</f>
        <v/>
      </c>
      <c r="M200" s="9">
        <f>IF(AND(K200&lt;&gt;"",I200&lt;&gt;""),K200-I200,"")</f>
        <v/>
      </c>
      <c r="N200" s="9">
        <f>IF(AND(H200&lt;&gt;"",I200&lt;&gt;""),H200-I200,"")</f>
        <v/>
      </c>
    </row>
    <row r="201">
      <c r="L201" s="9">
        <f>IF(AND(J201&lt;&gt;"",H201&lt;&gt;""),J201-H201,"")</f>
        <v/>
      </c>
      <c r="M201" s="9">
        <f>IF(AND(K201&lt;&gt;"",I201&lt;&gt;""),K201-I201,"")</f>
        <v/>
      </c>
      <c r="N201" s="9">
        <f>IF(AND(H201&lt;&gt;"",I201&lt;&gt;""),H201-I201,"")</f>
        <v/>
      </c>
    </row>
    <row r="202">
      <c r="L202" s="9">
        <f>IF(AND(J202&lt;&gt;"",H202&lt;&gt;""),J202-H202,"")</f>
        <v/>
      </c>
      <c r="M202" s="9">
        <f>IF(AND(K202&lt;&gt;"",I202&lt;&gt;""),K202-I202,"")</f>
        <v/>
      </c>
      <c r="N202" s="9">
        <f>IF(AND(H202&lt;&gt;"",I202&lt;&gt;""),H202-I202,"")</f>
        <v/>
      </c>
    </row>
    <row r="203">
      <c r="L203" s="9">
        <f>IF(AND(J203&lt;&gt;"",H203&lt;&gt;""),J203-H203,"")</f>
        <v/>
      </c>
      <c r="M203" s="9">
        <f>IF(AND(K203&lt;&gt;"",I203&lt;&gt;""),K203-I203,"")</f>
        <v/>
      </c>
      <c r="N203" s="9">
        <f>IF(AND(H203&lt;&gt;"",I203&lt;&gt;""),H203-I203,"")</f>
        <v/>
      </c>
    </row>
    <row r="204">
      <c r="L204" s="9">
        <f>IF(AND(J204&lt;&gt;"",H204&lt;&gt;""),J204-H204,"")</f>
        <v/>
      </c>
      <c r="M204" s="9">
        <f>IF(AND(K204&lt;&gt;"",I204&lt;&gt;""),K204-I204,"")</f>
        <v/>
      </c>
      <c r="N204" s="9">
        <f>IF(AND(H204&lt;&gt;"",I204&lt;&gt;""),H204-I204,"")</f>
        <v/>
      </c>
    </row>
    <row r="205">
      <c r="L205" s="9">
        <f>IF(AND(J205&lt;&gt;"",H205&lt;&gt;""),J205-H205,"")</f>
        <v/>
      </c>
      <c r="M205" s="9">
        <f>IF(AND(K205&lt;&gt;"",I205&lt;&gt;""),K205-I205,"")</f>
        <v/>
      </c>
      <c r="N205" s="9">
        <f>IF(AND(H205&lt;&gt;"",I205&lt;&gt;""),H205-I205,"")</f>
        <v/>
      </c>
    </row>
    <row r="206">
      <c r="L206" s="9">
        <f>IF(AND(J206&lt;&gt;"",H206&lt;&gt;""),J206-H206,"")</f>
        <v/>
      </c>
      <c r="M206" s="9">
        <f>IF(AND(K206&lt;&gt;"",I206&lt;&gt;""),K206-I206,"")</f>
        <v/>
      </c>
      <c r="N206" s="9">
        <f>IF(AND(H206&lt;&gt;"",I206&lt;&gt;""),H206-I206,"")</f>
        <v/>
      </c>
    </row>
    <row r="207">
      <c r="L207" s="9">
        <f>IF(AND(J207&lt;&gt;"",H207&lt;&gt;""),J207-H207,"")</f>
        <v/>
      </c>
      <c r="M207" s="9">
        <f>IF(AND(K207&lt;&gt;"",I207&lt;&gt;""),K207-I207,"")</f>
        <v/>
      </c>
      <c r="N207" s="9">
        <f>IF(AND(H207&lt;&gt;"",I207&lt;&gt;""),H207-I207,"")</f>
        <v/>
      </c>
    </row>
    <row r="208">
      <c r="L208" s="9">
        <f>IF(AND(J208&lt;&gt;"",H208&lt;&gt;""),J208-H208,"")</f>
        <v/>
      </c>
      <c r="M208" s="9">
        <f>IF(AND(K208&lt;&gt;"",I208&lt;&gt;""),K208-I208,"")</f>
        <v/>
      </c>
      <c r="N208" s="9">
        <f>IF(AND(H208&lt;&gt;"",I208&lt;&gt;""),H208-I208,"")</f>
        <v/>
      </c>
    </row>
    <row r="209">
      <c r="L209" s="9">
        <f>IF(AND(J209&lt;&gt;"",H209&lt;&gt;""),J209-H209,"")</f>
        <v/>
      </c>
      <c r="M209" s="9">
        <f>IF(AND(K209&lt;&gt;"",I209&lt;&gt;""),K209-I209,"")</f>
        <v/>
      </c>
      <c r="N209" s="9">
        <f>IF(AND(H209&lt;&gt;"",I209&lt;&gt;""),H209-I209,"")</f>
        <v/>
      </c>
    </row>
    <row r="210">
      <c r="L210" s="9">
        <f>IF(AND(J210&lt;&gt;"",H210&lt;&gt;""),J210-H210,"")</f>
        <v/>
      </c>
      <c r="M210" s="9">
        <f>IF(AND(K210&lt;&gt;"",I210&lt;&gt;""),K210-I210,"")</f>
        <v/>
      </c>
      <c r="N210" s="9">
        <f>IF(AND(H210&lt;&gt;"",I210&lt;&gt;""),H210-I210,"")</f>
        <v/>
      </c>
    </row>
    <row r="211">
      <c r="L211" s="9">
        <f>IF(AND(J211&lt;&gt;"",H211&lt;&gt;""),J211-H211,"")</f>
        <v/>
      </c>
      <c r="M211" s="9">
        <f>IF(AND(K211&lt;&gt;"",I211&lt;&gt;""),K211-I211,"")</f>
        <v/>
      </c>
      <c r="N211" s="9">
        <f>IF(AND(H211&lt;&gt;"",I211&lt;&gt;""),H211-I211,"")</f>
        <v/>
      </c>
    </row>
    <row r="212">
      <c r="L212" s="9">
        <f>IF(AND(J212&lt;&gt;"",H212&lt;&gt;""),J212-H212,"")</f>
        <v/>
      </c>
      <c r="M212" s="9">
        <f>IF(AND(K212&lt;&gt;"",I212&lt;&gt;""),K212-I212,"")</f>
        <v/>
      </c>
      <c r="N212" s="9">
        <f>IF(AND(H212&lt;&gt;"",I212&lt;&gt;""),H212-I212,"")</f>
        <v/>
      </c>
    </row>
    <row r="213">
      <c r="L213" s="9">
        <f>IF(AND(J213&lt;&gt;"",H213&lt;&gt;""),J213-H213,"")</f>
        <v/>
      </c>
      <c r="M213" s="9">
        <f>IF(AND(K213&lt;&gt;"",I213&lt;&gt;""),K213-I213,"")</f>
        <v/>
      </c>
      <c r="N213" s="9">
        <f>IF(AND(H213&lt;&gt;"",I213&lt;&gt;""),H213-I213,"")</f>
        <v/>
      </c>
    </row>
    <row r="214">
      <c r="L214" s="9">
        <f>IF(AND(J214&lt;&gt;"",H214&lt;&gt;""),J214-H214,"")</f>
        <v/>
      </c>
      <c r="M214" s="9">
        <f>IF(AND(K214&lt;&gt;"",I214&lt;&gt;""),K214-I214,"")</f>
        <v/>
      </c>
      <c r="N214" s="9">
        <f>IF(AND(H214&lt;&gt;"",I214&lt;&gt;""),H214-I214,"")</f>
        <v/>
      </c>
    </row>
    <row r="215">
      <c r="L215" s="9">
        <f>IF(AND(J215&lt;&gt;"",H215&lt;&gt;""),J215-H215,"")</f>
        <v/>
      </c>
      <c r="M215" s="9">
        <f>IF(AND(K215&lt;&gt;"",I215&lt;&gt;""),K215-I215,"")</f>
        <v/>
      </c>
      <c r="N215" s="9">
        <f>IF(AND(H215&lt;&gt;"",I215&lt;&gt;""),H215-I215,"")</f>
        <v/>
      </c>
    </row>
    <row r="216">
      <c r="L216" s="9">
        <f>IF(AND(J216&lt;&gt;"",H216&lt;&gt;""),J216-H216,"")</f>
        <v/>
      </c>
      <c r="M216" s="9">
        <f>IF(AND(K216&lt;&gt;"",I216&lt;&gt;""),K216-I216,"")</f>
        <v/>
      </c>
      <c r="N216" s="9">
        <f>IF(AND(H216&lt;&gt;"",I216&lt;&gt;""),H216-I216,"")</f>
        <v/>
      </c>
    </row>
    <row r="217">
      <c r="L217" s="9">
        <f>IF(AND(J217&lt;&gt;"",H217&lt;&gt;""),J217-H217,"")</f>
        <v/>
      </c>
      <c r="M217" s="9">
        <f>IF(AND(K217&lt;&gt;"",I217&lt;&gt;""),K217-I217,"")</f>
        <v/>
      </c>
      <c r="N217" s="9">
        <f>IF(AND(H217&lt;&gt;"",I217&lt;&gt;""),H217-I217,"")</f>
        <v/>
      </c>
    </row>
    <row r="218">
      <c r="L218" s="9">
        <f>IF(AND(J218&lt;&gt;"",H218&lt;&gt;""),J218-H218,"")</f>
        <v/>
      </c>
      <c r="M218" s="9">
        <f>IF(AND(K218&lt;&gt;"",I218&lt;&gt;""),K218-I218,"")</f>
        <v/>
      </c>
      <c r="N218" s="9">
        <f>IF(AND(H218&lt;&gt;"",I218&lt;&gt;""),H218-I218,"")</f>
        <v/>
      </c>
    </row>
    <row r="219">
      <c r="L219" s="9">
        <f>IF(AND(J219&lt;&gt;"",H219&lt;&gt;""),J219-H219,"")</f>
        <v/>
      </c>
      <c r="M219" s="9">
        <f>IF(AND(K219&lt;&gt;"",I219&lt;&gt;""),K219-I219,"")</f>
        <v/>
      </c>
      <c r="N219" s="9">
        <f>IF(AND(H219&lt;&gt;"",I219&lt;&gt;""),H219-I219,"")</f>
        <v/>
      </c>
    </row>
    <row r="220">
      <c r="L220" s="9">
        <f>IF(AND(J220&lt;&gt;"",H220&lt;&gt;""),J220-H220,"")</f>
        <v/>
      </c>
      <c r="M220" s="9">
        <f>IF(AND(K220&lt;&gt;"",I220&lt;&gt;""),K220-I220,"")</f>
        <v/>
      </c>
      <c r="N220" s="9">
        <f>IF(AND(H220&lt;&gt;"",I220&lt;&gt;""),H220-I220,"")</f>
        <v/>
      </c>
    </row>
    <row r="221">
      <c r="L221" s="9">
        <f>IF(AND(J221&lt;&gt;"",H221&lt;&gt;""),J221-H221,"")</f>
        <v/>
      </c>
      <c r="M221" s="9">
        <f>IF(AND(K221&lt;&gt;"",I221&lt;&gt;""),K221-I221,"")</f>
        <v/>
      </c>
      <c r="N221" s="9">
        <f>IF(AND(H221&lt;&gt;"",I221&lt;&gt;""),H221-I221,"")</f>
        <v/>
      </c>
    </row>
    <row r="222">
      <c r="L222" s="9">
        <f>IF(AND(J222&lt;&gt;"",H222&lt;&gt;""),J222-H222,"")</f>
        <v/>
      </c>
      <c r="M222" s="9">
        <f>IF(AND(K222&lt;&gt;"",I222&lt;&gt;""),K222-I222,"")</f>
        <v/>
      </c>
      <c r="N222" s="9">
        <f>IF(AND(H222&lt;&gt;"",I222&lt;&gt;""),H222-I222,"")</f>
        <v/>
      </c>
    </row>
    <row r="223">
      <c r="L223" s="9">
        <f>IF(AND(J223&lt;&gt;"",H223&lt;&gt;""),J223-H223,"")</f>
        <v/>
      </c>
      <c r="M223" s="9">
        <f>IF(AND(K223&lt;&gt;"",I223&lt;&gt;""),K223-I223,"")</f>
        <v/>
      </c>
      <c r="N223" s="9">
        <f>IF(AND(H223&lt;&gt;"",I223&lt;&gt;""),H223-I223,"")</f>
        <v/>
      </c>
    </row>
    <row r="224">
      <c r="L224" s="9">
        <f>IF(AND(J224&lt;&gt;"",H224&lt;&gt;""),J224-H224,"")</f>
        <v/>
      </c>
      <c r="M224" s="9">
        <f>IF(AND(K224&lt;&gt;"",I224&lt;&gt;""),K224-I224,"")</f>
        <v/>
      </c>
      <c r="N224" s="9">
        <f>IF(AND(H224&lt;&gt;"",I224&lt;&gt;""),H224-I224,"")</f>
        <v/>
      </c>
    </row>
    <row r="225">
      <c r="L225" s="9">
        <f>IF(AND(J225&lt;&gt;"",H225&lt;&gt;""),J225-H225,"")</f>
        <v/>
      </c>
      <c r="M225" s="9">
        <f>IF(AND(K225&lt;&gt;"",I225&lt;&gt;""),K225-I225,"")</f>
        <v/>
      </c>
      <c r="N225" s="9">
        <f>IF(AND(H225&lt;&gt;"",I225&lt;&gt;""),H225-I225,"")</f>
        <v/>
      </c>
    </row>
    <row r="226">
      <c r="L226" s="9">
        <f>IF(AND(J226&lt;&gt;"",H226&lt;&gt;""),J226-H226,"")</f>
        <v/>
      </c>
      <c r="M226" s="9">
        <f>IF(AND(K226&lt;&gt;"",I226&lt;&gt;""),K226-I226,"")</f>
        <v/>
      </c>
      <c r="N226" s="9">
        <f>IF(AND(H226&lt;&gt;"",I226&lt;&gt;""),H226-I226,"")</f>
        <v/>
      </c>
    </row>
    <row r="227">
      <c r="L227" s="9">
        <f>IF(AND(J227&lt;&gt;"",H227&lt;&gt;""),J227-H227,"")</f>
        <v/>
      </c>
      <c r="M227" s="9">
        <f>IF(AND(K227&lt;&gt;"",I227&lt;&gt;""),K227-I227,"")</f>
        <v/>
      </c>
      <c r="N227" s="9">
        <f>IF(AND(H227&lt;&gt;"",I227&lt;&gt;""),H227-I227,"")</f>
        <v/>
      </c>
    </row>
    <row r="228">
      <c r="L228" s="9">
        <f>IF(AND(J228&lt;&gt;"",H228&lt;&gt;""),J228-H228,"")</f>
        <v/>
      </c>
      <c r="M228" s="9">
        <f>IF(AND(K228&lt;&gt;"",I228&lt;&gt;""),K228-I228,"")</f>
        <v/>
      </c>
      <c r="N228" s="9">
        <f>IF(AND(H228&lt;&gt;"",I228&lt;&gt;""),H228-I228,"")</f>
        <v/>
      </c>
    </row>
    <row r="229">
      <c r="L229" s="9">
        <f>IF(AND(J229&lt;&gt;"",H229&lt;&gt;""),J229-H229,"")</f>
        <v/>
      </c>
      <c r="M229" s="9">
        <f>IF(AND(K229&lt;&gt;"",I229&lt;&gt;""),K229-I229,"")</f>
        <v/>
      </c>
      <c r="N229" s="9">
        <f>IF(AND(H229&lt;&gt;"",I229&lt;&gt;""),H229-I229,"")</f>
        <v/>
      </c>
    </row>
    <row r="230">
      <c r="L230" s="9">
        <f>IF(AND(J230&lt;&gt;"",H230&lt;&gt;""),J230-H230,"")</f>
        <v/>
      </c>
      <c r="M230" s="9">
        <f>IF(AND(K230&lt;&gt;"",I230&lt;&gt;""),K230-I230,"")</f>
        <v/>
      </c>
      <c r="N230" s="9">
        <f>IF(AND(H230&lt;&gt;"",I230&lt;&gt;""),H230-I230,"")</f>
        <v/>
      </c>
    </row>
    <row r="231">
      <c r="L231" s="9">
        <f>IF(AND(J231&lt;&gt;"",H231&lt;&gt;""),J231-H231,"")</f>
        <v/>
      </c>
      <c r="M231" s="9">
        <f>IF(AND(K231&lt;&gt;"",I231&lt;&gt;""),K231-I231,"")</f>
        <v/>
      </c>
      <c r="N231" s="9">
        <f>IF(AND(H231&lt;&gt;"",I231&lt;&gt;""),H231-I231,"")</f>
        <v/>
      </c>
    </row>
    <row r="232">
      <c r="L232" s="9">
        <f>IF(AND(J232&lt;&gt;"",H232&lt;&gt;""),J232-H232,"")</f>
        <v/>
      </c>
      <c r="M232" s="9">
        <f>IF(AND(K232&lt;&gt;"",I232&lt;&gt;""),K232-I232,"")</f>
        <v/>
      </c>
      <c r="N232" s="9">
        <f>IF(AND(H232&lt;&gt;"",I232&lt;&gt;""),H232-I232,"")</f>
        <v/>
      </c>
    </row>
    <row r="233">
      <c r="L233" s="9">
        <f>IF(AND(J233&lt;&gt;"",H233&lt;&gt;""),J233-H233,"")</f>
        <v/>
      </c>
      <c r="M233" s="9">
        <f>IF(AND(K233&lt;&gt;"",I233&lt;&gt;""),K233-I233,"")</f>
        <v/>
      </c>
      <c r="N233" s="9">
        <f>IF(AND(H233&lt;&gt;"",I233&lt;&gt;""),H233-I233,"")</f>
        <v/>
      </c>
    </row>
    <row r="234">
      <c r="L234" s="9">
        <f>IF(AND(J234&lt;&gt;"",H234&lt;&gt;""),J234-H234,"")</f>
        <v/>
      </c>
      <c r="M234" s="9">
        <f>IF(AND(K234&lt;&gt;"",I234&lt;&gt;""),K234-I234,"")</f>
        <v/>
      </c>
      <c r="N234" s="9">
        <f>IF(AND(H234&lt;&gt;"",I234&lt;&gt;""),H234-I234,"")</f>
        <v/>
      </c>
    </row>
    <row r="235">
      <c r="L235" s="9">
        <f>IF(AND(J235&lt;&gt;"",H235&lt;&gt;""),J235-H235,"")</f>
        <v/>
      </c>
      <c r="M235" s="9">
        <f>IF(AND(K235&lt;&gt;"",I235&lt;&gt;""),K235-I235,"")</f>
        <v/>
      </c>
      <c r="N235" s="9">
        <f>IF(AND(H235&lt;&gt;"",I235&lt;&gt;""),H235-I235,"")</f>
        <v/>
      </c>
    </row>
    <row r="236">
      <c r="L236" s="9">
        <f>IF(AND(J236&lt;&gt;"",H236&lt;&gt;""),J236-H236,"")</f>
        <v/>
      </c>
      <c r="M236" s="9">
        <f>IF(AND(K236&lt;&gt;"",I236&lt;&gt;""),K236-I236,"")</f>
        <v/>
      </c>
      <c r="N236" s="9">
        <f>IF(AND(H236&lt;&gt;"",I236&lt;&gt;""),H236-I236,"")</f>
        <v/>
      </c>
    </row>
    <row r="237">
      <c r="L237" s="9">
        <f>IF(AND(J237&lt;&gt;"",H237&lt;&gt;""),J237-H237,"")</f>
        <v/>
      </c>
      <c r="M237" s="9">
        <f>IF(AND(K237&lt;&gt;"",I237&lt;&gt;""),K237-I237,"")</f>
        <v/>
      </c>
      <c r="N237" s="9">
        <f>IF(AND(H237&lt;&gt;"",I237&lt;&gt;""),H237-I237,"")</f>
        <v/>
      </c>
    </row>
    <row r="238">
      <c r="L238" s="9">
        <f>IF(AND(J238&lt;&gt;"",H238&lt;&gt;""),J238-H238,"")</f>
        <v/>
      </c>
      <c r="M238" s="9">
        <f>IF(AND(K238&lt;&gt;"",I238&lt;&gt;""),K238-I238,"")</f>
        <v/>
      </c>
      <c r="N238" s="9">
        <f>IF(AND(H238&lt;&gt;"",I238&lt;&gt;""),H238-I238,"")</f>
        <v/>
      </c>
    </row>
    <row r="239">
      <c r="L239" s="9">
        <f>IF(AND(J239&lt;&gt;"",H239&lt;&gt;""),J239-H239,"")</f>
        <v/>
      </c>
      <c r="M239" s="9">
        <f>IF(AND(K239&lt;&gt;"",I239&lt;&gt;""),K239-I239,"")</f>
        <v/>
      </c>
      <c r="N239" s="9">
        <f>IF(AND(H239&lt;&gt;"",I239&lt;&gt;""),H239-I239,"")</f>
        <v/>
      </c>
    </row>
    <row r="240">
      <c r="L240" s="9">
        <f>IF(AND(J240&lt;&gt;"",H240&lt;&gt;""),J240-H240,"")</f>
        <v/>
      </c>
      <c r="M240" s="9">
        <f>IF(AND(K240&lt;&gt;"",I240&lt;&gt;""),K240-I240,"")</f>
        <v/>
      </c>
      <c r="N240" s="9">
        <f>IF(AND(H240&lt;&gt;"",I240&lt;&gt;""),H240-I240,"")</f>
        <v/>
      </c>
    </row>
    <row r="241">
      <c r="L241" s="9">
        <f>IF(AND(J241&lt;&gt;"",H241&lt;&gt;""),J241-H241,"")</f>
        <v/>
      </c>
      <c r="M241" s="9">
        <f>IF(AND(K241&lt;&gt;"",I241&lt;&gt;""),K241-I241,"")</f>
        <v/>
      </c>
      <c r="N241" s="9">
        <f>IF(AND(H241&lt;&gt;"",I241&lt;&gt;""),H241-I241,"")</f>
        <v/>
      </c>
    </row>
    <row r="242">
      <c r="L242" s="9">
        <f>IF(AND(J242&lt;&gt;"",H242&lt;&gt;""),J242-H242,"")</f>
        <v/>
      </c>
      <c r="M242" s="9">
        <f>IF(AND(K242&lt;&gt;"",I242&lt;&gt;""),K242-I242,"")</f>
        <v/>
      </c>
      <c r="N242" s="9">
        <f>IF(AND(H242&lt;&gt;"",I242&lt;&gt;""),H242-I242,"")</f>
        <v/>
      </c>
    </row>
    <row r="243">
      <c r="L243" s="9">
        <f>IF(AND(J243&lt;&gt;"",H243&lt;&gt;""),J243-H243,"")</f>
        <v/>
      </c>
      <c r="M243" s="9">
        <f>IF(AND(K243&lt;&gt;"",I243&lt;&gt;""),K243-I243,"")</f>
        <v/>
      </c>
      <c r="N243" s="9">
        <f>IF(AND(H243&lt;&gt;"",I243&lt;&gt;""),H243-I243,"")</f>
        <v/>
      </c>
    </row>
    <row r="244">
      <c r="L244" s="9">
        <f>IF(AND(J244&lt;&gt;"",H244&lt;&gt;""),J244-H244,"")</f>
        <v/>
      </c>
      <c r="M244" s="9">
        <f>IF(AND(K244&lt;&gt;"",I244&lt;&gt;""),K244-I244,"")</f>
        <v/>
      </c>
      <c r="N244" s="9">
        <f>IF(AND(H244&lt;&gt;"",I244&lt;&gt;""),H244-I244,"")</f>
        <v/>
      </c>
    </row>
    <row r="245">
      <c r="L245" s="9">
        <f>IF(AND(J245&lt;&gt;"",H245&lt;&gt;""),J245-H245,"")</f>
        <v/>
      </c>
      <c r="M245" s="9">
        <f>IF(AND(K245&lt;&gt;"",I245&lt;&gt;""),K245-I245,"")</f>
        <v/>
      </c>
      <c r="N245" s="9">
        <f>IF(AND(H245&lt;&gt;"",I245&lt;&gt;""),H245-I245,"")</f>
        <v/>
      </c>
    </row>
    <row r="246">
      <c r="L246" s="9">
        <f>IF(AND(J246&lt;&gt;"",H246&lt;&gt;""),J246-H246,"")</f>
        <v/>
      </c>
      <c r="M246" s="9">
        <f>IF(AND(K246&lt;&gt;"",I246&lt;&gt;""),K246-I246,"")</f>
        <v/>
      </c>
      <c r="N246" s="9">
        <f>IF(AND(H246&lt;&gt;"",I246&lt;&gt;""),H246-I246,"")</f>
        <v/>
      </c>
    </row>
    <row r="247">
      <c r="L247" s="9">
        <f>IF(AND(J247&lt;&gt;"",H247&lt;&gt;""),J247-H247,"")</f>
        <v/>
      </c>
      <c r="M247" s="9">
        <f>IF(AND(K247&lt;&gt;"",I247&lt;&gt;""),K247-I247,"")</f>
        <v/>
      </c>
      <c r="N247" s="9">
        <f>IF(AND(H247&lt;&gt;"",I247&lt;&gt;""),H247-I247,"")</f>
        <v/>
      </c>
    </row>
    <row r="248">
      <c r="L248" s="9">
        <f>IF(AND(J248&lt;&gt;"",H248&lt;&gt;""),J248-H248,"")</f>
        <v/>
      </c>
      <c r="M248" s="9">
        <f>IF(AND(K248&lt;&gt;"",I248&lt;&gt;""),K248-I248,"")</f>
        <v/>
      </c>
      <c r="N248" s="9">
        <f>IF(AND(H248&lt;&gt;"",I248&lt;&gt;""),H248-I248,"")</f>
        <v/>
      </c>
    </row>
    <row r="249">
      <c r="L249" s="9">
        <f>IF(AND(J249&lt;&gt;"",H249&lt;&gt;""),J249-H249,"")</f>
        <v/>
      </c>
      <c r="M249" s="9">
        <f>IF(AND(K249&lt;&gt;"",I249&lt;&gt;""),K249-I249,"")</f>
        <v/>
      </c>
      <c r="N249" s="9">
        <f>IF(AND(H249&lt;&gt;"",I249&lt;&gt;""),H249-I249,"")</f>
        <v/>
      </c>
    </row>
    <row r="250">
      <c r="L250" s="9">
        <f>IF(AND(J250&lt;&gt;"",H250&lt;&gt;""),J250-H250,"")</f>
        <v/>
      </c>
      <c r="M250" s="9">
        <f>IF(AND(K250&lt;&gt;"",I250&lt;&gt;""),K250-I250,"")</f>
        <v/>
      </c>
      <c r="N250" s="9">
        <f>IF(AND(H250&lt;&gt;"",I250&lt;&gt;""),H250-I250,"")</f>
        <v/>
      </c>
    </row>
    <row r="251">
      <c r="L251" s="9">
        <f>IF(AND(J251&lt;&gt;"",H251&lt;&gt;""),J251-H251,"")</f>
        <v/>
      </c>
      <c r="M251" s="9">
        <f>IF(AND(K251&lt;&gt;"",I251&lt;&gt;""),K251-I251,"")</f>
        <v/>
      </c>
      <c r="N251" s="9">
        <f>IF(AND(H251&lt;&gt;"",I251&lt;&gt;""),H251-I251,"")</f>
        <v/>
      </c>
    </row>
    <row r="252">
      <c r="L252" s="9">
        <f>IF(AND(J252&lt;&gt;"",H252&lt;&gt;""),J252-H252,"")</f>
        <v/>
      </c>
      <c r="M252" s="9">
        <f>IF(AND(K252&lt;&gt;"",I252&lt;&gt;""),K252-I252,"")</f>
        <v/>
      </c>
      <c r="N252" s="9">
        <f>IF(AND(H252&lt;&gt;"",I252&lt;&gt;""),H252-I252,"")</f>
        <v/>
      </c>
    </row>
    <row r="253">
      <c r="L253" s="9">
        <f>IF(AND(J253&lt;&gt;"",H253&lt;&gt;""),J253-H253,"")</f>
        <v/>
      </c>
      <c r="M253" s="9">
        <f>IF(AND(K253&lt;&gt;"",I253&lt;&gt;""),K253-I253,"")</f>
        <v/>
      </c>
      <c r="N253" s="9">
        <f>IF(AND(H253&lt;&gt;"",I253&lt;&gt;""),H253-I253,"")</f>
        <v/>
      </c>
    </row>
    <row r="254">
      <c r="L254" s="9">
        <f>IF(AND(J254&lt;&gt;"",H254&lt;&gt;""),J254-H254,"")</f>
        <v/>
      </c>
      <c r="M254" s="9">
        <f>IF(AND(K254&lt;&gt;"",I254&lt;&gt;""),K254-I254,"")</f>
        <v/>
      </c>
      <c r="N254" s="9">
        <f>IF(AND(H254&lt;&gt;"",I254&lt;&gt;""),H254-I254,"")</f>
        <v/>
      </c>
    </row>
    <row r="255">
      <c r="L255" s="9">
        <f>IF(AND(J255&lt;&gt;"",H255&lt;&gt;""),J255-H255,"")</f>
        <v/>
      </c>
      <c r="M255" s="9">
        <f>IF(AND(K255&lt;&gt;"",I255&lt;&gt;""),K255-I255,"")</f>
        <v/>
      </c>
      <c r="N255" s="9">
        <f>IF(AND(H255&lt;&gt;"",I255&lt;&gt;""),H255-I255,"")</f>
        <v/>
      </c>
    </row>
    <row r="256">
      <c r="L256" s="9">
        <f>IF(AND(J256&lt;&gt;"",H256&lt;&gt;""),J256-H256,"")</f>
        <v/>
      </c>
      <c r="M256" s="9">
        <f>IF(AND(K256&lt;&gt;"",I256&lt;&gt;""),K256-I256,"")</f>
        <v/>
      </c>
      <c r="N256" s="9">
        <f>IF(AND(H256&lt;&gt;"",I256&lt;&gt;""),H256-I256,"")</f>
        <v/>
      </c>
    </row>
    <row r="257">
      <c r="L257" s="9">
        <f>IF(AND(J257&lt;&gt;"",H257&lt;&gt;""),J257-H257,"")</f>
        <v/>
      </c>
      <c r="M257" s="9">
        <f>IF(AND(K257&lt;&gt;"",I257&lt;&gt;""),K257-I257,"")</f>
        <v/>
      </c>
      <c r="N257" s="9">
        <f>IF(AND(H257&lt;&gt;"",I257&lt;&gt;""),H257-I257,"")</f>
        <v/>
      </c>
    </row>
    <row r="258">
      <c r="L258" s="9">
        <f>IF(AND(J258&lt;&gt;"",H258&lt;&gt;""),J258-H258,"")</f>
        <v/>
      </c>
      <c r="M258" s="9">
        <f>IF(AND(K258&lt;&gt;"",I258&lt;&gt;""),K258-I258,"")</f>
        <v/>
      </c>
      <c r="N258" s="9">
        <f>IF(AND(H258&lt;&gt;"",I258&lt;&gt;""),H258-I258,"")</f>
        <v/>
      </c>
    </row>
    <row r="259">
      <c r="L259" s="9">
        <f>IF(AND(J259&lt;&gt;"",H259&lt;&gt;""),J259-H259,"")</f>
        <v/>
      </c>
      <c r="M259" s="9">
        <f>IF(AND(K259&lt;&gt;"",I259&lt;&gt;""),K259-I259,"")</f>
        <v/>
      </c>
      <c r="N259" s="9">
        <f>IF(AND(H259&lt;&gt;"",I259&lt;&gt;""),H259-I259,"")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2" customWidth="1" min="11" max="11"/>
    <col width="14" customWidth="1" min="12" max="12"/>
    <col width="14" customWidth="1" min="13" max="13"/>
    <col width="16" customWidth="1" min="14" max="14"/>
    <col width="8" customWidth="1" min="15" max="15"/>
  </cols>
  <sheetData>
    <row r="1">
      <c r="A1" s="10" t="inlineStr">
        <is>
          <t>NETBACK CALCULATOR — Pressurized Cargo to SE Asia</t>
        </is>
      </c>
    </row>
    <row r="2">
      <c r="A2" s="1" t="inlineStr">
        <is>
          <t>Scenario</t>
        </is>
      </c>
      <c r="B2" s="1" t="inlineStr">
        <is>
          <t>Buyer</t>
        </is>
      </c>
      <c r="C2" s="1" t="inlineStr">
        <is>
          <t>Destination</t>
        </is>
      </c>
      <c r="D2" s="1" t="inlineStr">
        <is>
          <t>Product</t>
        </is>
      </c>
      <c r="E2" s="1" t="inlineStr">
        <is>
          <t>Parcel (MT)</t>
        </is>
      </c>
      <c r="F2" s="1" t="inlineStr">
        <is>
          <t>CFR Offer ($/mt)</t>
        </is>
      </c>
      <c r="G2" s="1" t="inlineStr">
        <is>
          <t>PGC Freight ($/mt)</t>
        </is>
      </c>
      <c r="H2" s="1" t="inlineStr">
        <is>
          <t>Port Costs ($/mt)</t>
        </is>
      </c>
      <c r="I2" s="1" t="inlineStr">
        <is>
          <t>Insurance ($/mt)</t>
        </is>
      </c>
      <c r="J2" s="1" t="inlineStr">
        <is>
          <t>Demurrage Buffer ($/mt)</t>
        </is>
      </c>
      <c r="K2" s="1" t="inlineStr">
        <is>
          <t>Agent Fee ($/mt)</t>
        </is>
      </c>
      <c r="L2" s="1" t="inlineStr">
        <is>
          <t>FOB Netback ($/mt)</t>
        </is>
      </c>
      <c r="M2" s="1" t="inlineStr">
        <is>
          <t>Total Netback ($)</t>
        </is>
      </c>
      <c r="N2" s="1" t="inlineStr">
        <is>
          <t>vs AFEI Prem/Disc</t>
        </is>
      </c>
      <c r="O2" s="1" t="inlineStr">
        <is>
          <t>Rank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1">
        <f>IF(F3&lt;&gt;"",F3-G3-H3-I3-J3-K3,"")</f>
        <v/>
      </c>
      <c r="M3" s="7">
        <f>IF(L3&lt;&gt;"",L3*E3,"")</f>
        <v/>
      </c>
      <c r="N3" s="2" t="n"/>
      <c r="O3" s="4">
        <f>IF(L3&lt;&gt;"",RANK(L3,$L$3:$L$19,0),"")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11">
        <f>IF(F4&lt;&gt;"",F4-G4-H4-I4-J4-K4,"")</f>
        <v/>
      </c>
      <c r="M4" s="7">
        <f>IF(L4&lt;&gt;"",L4*E4,"")</f>
        <v/>
      </c>
      <c r="N4" s="2" t="n"/>
      <c r="O4" s="4">
        <f>IF(L4&lt;&gt;"",RANK(L4,$L$3:$L$19,0),"")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11">
        <f>IF(F5&lt;&gt;"",F5-G5-H5-I5-J5-K5,"")</f>
        <v/>
      </c>
      <c r="M5" s="7">
        <f>IF(L5&lt;&gt;"",L5*E5,"")</f>
        <v/>
      </c>
      <c r="N5" s="2" t="n"/>
      <c r="O5" s="4">
        <f>IF(L5&lt;&gt;"",RANK(L5,$L$3:$L$19,0),"")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11">
        <f>IF(F6&lt;&gt;"",F6-G6-H6-I6-J6-K6,"")</f>
        <v/>
      </c>
      <c r="M6" s="7">
        <f>IF(L6&lt;&gt;"",L6*E6,"")</f>
        <v/>
      </c>
      <c r="N6" s="2" t="n"/>
      <c r="O6" s="4">
        <f>IF(L6&lt;&gt;"",RANK(L6,$L$3:$L$19,0),"")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11">
        <f>IF(F7&lt;&gt;"",F7-G7-H7-I7-J7-K7,"")</f>
        <v/>
      </c>
      <c r="M7" s="7">
        <f>IF(L7&lt;&gt;"",L7*E7,"")</f>
        <v/>
      </c>
      <c r="N7" s="2" t="n"/>
      <c r="O7" s="4">
        <f>IF(L7&lt;&gt;"",RANK(L7,$L$3:$L$19,0),"")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11">
        <f>IF(F8&lt;&gt;"",F8-G8-H8-I8-J8-K8,"")</f>
        <v/>
      </c>
      <c r="M8" s="7">
        <f>IF(L8&lt;&gt;"",L8*E8,"")</f>
        <v/>
      </c>
      <c r="N8" s="2" t="n"/>
      <c r="O8" s="4">
        <f>IF(L8&lt;&gt;"",RANK(L8,$L$3:$L$19,0),"")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11">
        <f>IF(F9&lt;&gt;"",F9-G9-H9-I9-J9-K9,"")</f>
        <v/>
      </c>
      <c r="M9" s="7">
        <f>IF(L9&lt;&gt;"",L9*E9,"")</f>
        <v/>
      </c>
      <c r="N9" s="2" t="n"/>
      <c r="O9" s="4">
        <f>IF(L9&lt;&gt;"",RANK(L9,$L$3:$L$19,0),"")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11">
        <f>IF(F10&lt;&gt;"",F10-G10-H10-I10-J10-K10,"")</f>
        <v/>
      </c>
      <c r="M10" s="7">
        <f>IF(L10&lt;&gt;"",L10*E10,"")</f>
        <v/>
      </c>
      <c r="N10" s="2" t="n"/>
      <c r="O10" s="4">
        <f>IF(L10&lt;&gt;"",RANK(L10,$L$3:$L$19,0),"")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11">
        <f>IF(F11&lt;&gt;"",F11-G11-H11-I11-J11-K11,"")</f>
        <v/>
      </c>
      <c r="M11" s="7">
        <f>IF(L11&lt;&gt;"",L11*E11,"")</f>
        <v/>
      </c>
      <c r="N11" s="2" t="n"/>
      <c r="O11" s="4">
        <f>IF(L11&lt;&gt;"",RANK(L11,$L$3:$L$19,0),"")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11">
        <f>IF(F12&lt;&gt;"",F12-G12-H12-I12-J12-K12,"")</f>
        <v/>
      </c>
      <c r="M12" s="7">
        <f>IF(L12&lt;&gt;"",L12*E12,"")</f>
        <v/>
      </c>
      <c r="N12" s="2" t="n"/>
      <c r="O12" s="4">
        <f>IF(L12&lt;&gt;"",RANK(L12,$L$3:$L$19,0),"")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11">
        <f>IF(F13&lt;&gt;"",F13-G13-H13-I13-J13-K13,"")</f>
        <v/>
      </c>
      <c r="M13" s="7">
        <f>IF(L13&lt;&gt;"",L13*E13,"")</f>
        <v/>
      </c>
      <c r="N13" s="2" t="n"/>
      <c r="O13" s="4">
        <f>IF(L13&lt;&gt;"",RANK(L13,$L$3:$L$19,0),"")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11">
        <f>IF(F14&lt;&gt;"",F14-G14-H14-I14-J14-K14,"")</f>
        <v/>
      </c>
      <c r="M14" s="7">
        <f>IF(L14&lt;&gt;"",L14*E14,"")</f>
        <v/>
      </c>
      <c r="N14" s="2" t="n"/>
      <c r="O14" s="4">
        <f>IF(L14&lt;&gt;"",RANK(L14,$L$3:$L$19,0),"")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11">
        <f>IF(F15&lt;&gt;"",F15-G15-H15-I15-J15-K15,"")</f>
        <v/>
      </c>
      <c r="M15" s="7">
        <f>IF(L15&lt;&gt;"",L15*E15,"")</f>
        <v/>
      </c>
      <c r="N15" s="2" t="n"/>
      <c r="O15" s="4">
        <f>IF(L15&lt;&gt;"",RANK(L15,$L$3:$L$19,0),"")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11">
        <f>IF(F16&lt;&gt;"",F16-G16-H16-I16-J16-K16,"")</f>
        <v/>
      </c>
      <c r="M16" s="7">
        <f>IF(L16&lt;&gt;"",L16*E16,"")</f>
        <v/>
      </c>
      <c r="N16" s="2" t="n"/>
      <c r="O16" s="4">
        <f>IF(L16&lt;&gt;"",RANK(L16,$L$3:$L$19,0),"")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11">
        <f>IF(F17&lt;&gt;"",F17-G17-H17-I17-J17-K17,"")</f>
        <v/>
      </c>
      <c r="M17" s="7">
        <f>IF(L17&lt;&gt;"",L17*E17,"")</f>
        <v/>
      </c>
      <c r="N17" s="2" t="n"/>
      <c r="O17" s="4">
        <f>IF(L17&lt;&gt;"",RANK(L17,$L$3:$L$19,0),"")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11">
        <f>IF(F18&lt;&gt;"",F18-G18-H18-I18-J18-K18,"")</f>
        <v/>
      </c>
      <c r="M18" s="7">
        <f>IF(L18&lt;&gt;"",L18*E18,"")</f>
        <v/>
      </c>
      <c r="N18" s="2" t="n"/>
      <c r="O18" s="4">
        <f>IF(L18&lt;&gt;"",RANK(L18,$L$3:$L$19,0),"")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11">
        <f>IF(F19&lt;&gt;"",F19-G19-H19-I19-J19-K19,"")</f>
        <v/>
      </c>
      <c r="M19" s="7">
        <f>IF(L19&lt;&gt;"",L19*E19,"")</f>
        <v/>
      </c>
      <c r="N19" s="2" t="n"/>
      <c r="O19" s="4">
        <f>IF(L19&lt;&gt;"",RANK(L19,$L$3:$L$19,0),"")</f>
        <v/>
      </c>
    </row>
    <row r="22">
      <c r="A22" s="6" t="inlineStr">
        <is>
          <t>REFERENCE FREIGHT RATES (PGC)</t>
        </is>
      </c>
    </row>
    <row r="23">
      <c r="A23" s="1" t="inlineStr">
        <is>
          <t>Route</t>
        </is>
      </c>
      <c r="B23" s="1" t="inlineStr">
        <is>
          <t>Distance (days)</t>
        </is>
      </c>
      <c r="C23" s="1" t="inlineStr">
        <is>
          <t>Low ($/mt)</t>
        </is>
      </c>
      <c r="D23" s="1" t="inlineStr">
        <is>
          <t>Mid ($/mt)</t>
        </is>
      </c>
      <c r="E23" s="1" t="inlineStr">
        <is>
          <t>High ($/mt)</t>
        </is>
      </c>
      <c r="F23" s="1" t="inlineStr">
        <is>
          <t>Last Updated</t>
        </is>
      </c>
    </row>
    <row r="24">
      <c r="A24" s="12" t="inlineStr">
        <is>
          <t>Brunei → South China</t>
        </is>
      </c>
      <c r="B24" s="12" t="inlineStr">
        <is>
          <t>2-4</t>
        </is>
      </c>
      <c r="C24" s="12" t="n">
        <v>40</v>
      </c>
      <c r="D24" s="12" t="n">
        <v>50</v>
      </c>
      <c r="E24" s="12" t="n">
        <v>60</v>
      </c>
      <c r="F24" s="12" t="n"/>
    </row>
    <row r="25">
      <c r="A25" s="12" t="inlineStr">
        <is>
          <t>Brunei → Vietnam</t>
        </is>
      </c>
      <c r="B25" s="12" t="inlineStr">
        <is>
          <t>2-3</t>
        </is>
      </c>
      <c r="C25" s="12" t="n">
        <v>35</v>
      </c>
      <c r="D25" s="12" t="n">
        <v>45</v>
      </c>
      <c r="E25" s="12" t="n">
        <v>55</v>
      </c>
      <c r="F25" s="12" t="n"/>
    </row>
    <row r="26">
      <c r="A26" s="12" t="inlineStr">
        <is>
          <t>Brunei → Philippines</t>
        </is>
      </c>
      <c r="B26" s="12" t="inlineStr">
        <is>
          <t>2-5</t>
        </is>
      </c>
      <c r="C26" s="12" t="n">
        <v>45</v>
      </c>
      <c r="D26" s="12" t="n">
        <v>55</v>
      </c>
      <c r="E26" s="12" t="n">
        <v>70</v>
      </c>
      <c r="F26" s="12" t="n"/>
    </row>
    <row r="27">
      <c r="A27" s="12" t="inlineStr">
        <is>
          <t>Brunei → Bangladesh</t>
        </is>
      </c>
      <c r="B27" s="12" t="inlineStr">
        <is>
          <t>3-5</t>
        </is>
      </c>
      <c r="C27" s="12" t="n">
        <v>50</v>
      </c>
      <c r="D27" s="12" t="n">
        <v>65</v>
      </c>
      <c r="E27" s="12" t="n">
        <v>80</v>
      </c>
      <c r="F27" s="12" t="n"/>
    </row>
    <row r="28">
      <c r="A28" s="12" t="inlineStr">
        <is>
          <t>Brunei → Sri Lanka</t>
        </is>
      </c>
      <c r="B28" s="12" t="inlineStr">
        <is>
          <t>4-6</t>
        </is>
      </c>
      <c r="C28" s="12" t="n">
        <v>55</v>
      </c>
      <c r="D28" s="12" t="n">
        <v>70</v>
      </c>
      <c r="E28" s="12" t="n">
        <v>85</v>
      </c>
      <c r="F28" s="12" t="n"/>
    </row>
    <row r="29">
      <c r="A29" s="12" t="inlineStr">
        <is>
          <t>Singapore → Vietnam</t>
        </is>
      </c>
      <c r="B29" s="12" t="inlineStr">
        <is>
          <t>2-3</t>
        </is>
      </c>
      <c r="C29" s="12" t="n">
        <v>30</v>
      </c>
      <c r="D29" s="12" t="n">
        <v>40</v>
      </c>
      <c r="E29" s="12" t="n">
        <v>50</v>
      </c>
      <c r="F29" s="12" t="n"/>
    </row>
    <row r="30">
      <c r="A30" s="12" t="inlineStr">
        <is>
          <t>Singapore → Philippines</t>
        </is>
      </c>
      <c r="B30" s="12" t="inlineStr">
        <is>
          <t>3-5</t>
        </is>
      </c>
      <c r="C30" s="12" t="n">
        <v>40</v>
      </c>
      <c r="D30" s="12" t="n">
        <v>50</v>
      </c>
      <c r="E30" s="12" t="n">
        <v>65</v>
      </c>
      <c r="F30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0" customWidth="1" min="5" max="5"/>
    <col width="14" customWidth="1" min="6" max="6"/>
    <col width="10" customWidth="1" min="7" max="7"/>
    <col width="18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24" customWidth="1" min="16" max="16"/>
  </cols>
  <sheetData>
    <row r="1">
      <c r="A1" s="1" t="inlineStr">
        <is>
          <t>Company</t>
        </is>
      </c>
      <c r="B1" s="1" t="inlineStr">
        <is>
          <t>Contact Person</t>
        </is>
      </c>
      <c r="C1" s="1" t="inlineStr">
        <is>
          <t>Role</t>
        </is>
      </c>
      <c r="D1" s="1" t="inlineStr">
        <is>
          <t>Phone/IM</t>
        </is>
      </c>
      <c r="E1" s="1" t="inlineStr">
        <is>
          <t>Country</t>
        </is>
      </c>
      <c r="F1" s="1" t="inlineStr">
        <is>
          <t>Port(s)</t>
        </is>
      </c>
      <c r="G1" s="1" t="inlineStr">
        <is>
          <t>Term / Spot</t>
        </is>
      </c>
      <c r="H1" s="1" t="inlineStr">
        <is>
          <t>Pricing Preference</t>
        </is>
      </c>
      <c r="I1" s="1" t="inlineStr">
        <is>
          <t>Typical Volume (MT/mo)</t>
        </is>
      </c>
      <c r="J1" s="1" t="inlineStr">
        <is>
          <t>Credit Terms</t>
        </is>
      </c>
      <c r="K1" s="1" t="inlineStr">
        <is>
          <t>L/C Required?</t>
        </is>
      </c>
      <c r="L1" s="1" t="inlineStr">
        <is>
          <t>Last Deal Date</t>
        </is>
      </c>
      <c r="M1" s="1" t="inlineStr">
        <is>
          <t>Last Deal Price</t>
        </is>
      </c>
      <c r="N1" s="1" t="inlineStr">
        <is>
          <t>Last Deal Volume</t>
        </is>
      </c>
      <c r="O1" s="1" t="inlineStr">
        <is>
          <t>Relationship Score (1-5)</t>
        </is>
      </c>
      <c r="P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</sheetData>
  <dataValidations count="2">
    <dataValidation sqref="G2:G40" showDropDown="0" showInputMessage="0" showErrorMessage="0" allowBlank="1" type="list">
      <formula1>"Term,Spot,Both"</formula1>
    </dataValidation>
    <dataValidation sqref="K2:K40" showDropDown="0" showInputMessage="0" showErrorMessage="0" allowBlank="1" type="list">
      <formula1>"Yes,No,Case-by-case"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  <col width="24" customWidth="1" min="17" max="17"/>
  </cols>
  <sheetData>
    <row r="1">
      <c r="A1" s="1" t="inlineStr">
        <is>
          <t>Cargo #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Volume (MT)</t>
        </is>
      </c>
      <c r="E1" s="1" t="inlineStr">
        <is>
          <t>Gross Revenue ($)</t>
        </is>
      </c>
      <c r="F1" s="1" t="inlineStr">
        <is>
          <t>Physical Cost ($)</t>
        </is>
      </c>
      <c r="G1" s="1" t="inlineStr">
        <is>
          <t>Flat Price P&amp;L ($/mt)</t>
        </is>
      </c>
      <c r="H1" s="1" t="inlineStr">
        <is>
          <t>Basis P&amp;L ($/mt)</t>
        </is>
      </c>
      <c r="I1" s="1" t="inlineStr">
        <is>
          <t>Freight P&amp;L ($/mt)</t>
        </is>
      </c>
      <c r="J1" s="1" t="inlineStr">
        <is>
          <t>Timing P&amp;L ($/mt)</t>
        </is>
      </c>
      <c r="K1" s="1" t="inlineStr">
        <is>
          <t>Total P&amp;L ($/mt)</t>
        </is>
      </c>
      <c r="L1" s="1" t="inlineStr">
        <is>
          <t>Total P&amp;L ($)</t>
        </is>
      </c>
      <c r="M1" s="1" t="inlineStr">
        <is>
          <t>Flat Price %</t>
        </is>
      </c>
      <c r="N1" s="1" t="inlineStr">
        <is>
          <t>Basis %</t>
        </is>
      </c>
      <c r="O1" s="1" t="inlineStr">
        <is>
          <t>Freight %</t>
        </is>
      </c>
      <c r="P1" s="1" t="inlineStr">
        <is>
          <t>Timing %</t>
        </is>
      </c>
      <c r="Q1" s="1" t="inlineStr">
        <is>
          <t>Lessons /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4">
        <f>IF(G2&lt;&gt;"",G2+H2+I2+J2,"")</f>
        <v/>
      </c>
      <c r="L2" s="7">
        <f>IF(K2&lt;&gt;"",K2*D2,"")</f>
        <v/>
      </c>
      <c r="M2" s="8">
        <f>IF(AND(K2&lt;&gt;"",K2&lt;&gt;0),G2/K2,"")</f>
        <v/>
      </c>
      <c r="N2" s="8">
        <f>IF(AND(K2&lt;&gt;"",K2&lt;&gt;0),H2/K2,"")</f>
        <v/>
      </c>
      <c r="O2" s="8">
        <f>IF(AND(K2&lt;&gt;"",K2&lt;&gt;0),I2/K2,"")</f>
        <v/>
      </c>
      <c r="P2" s="8">
        <f>IF(AND(K2&lt;&gt;"",K2&lt;&gt;0),J2/K2,"")</f>
        <v/>
      </c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4">
        <f>IF(G3&lt;&gt;"",G3+H3+I3+J3,"")</f>
        <v/>
      </c>
      <c r="L3" s="7">
        <f>IF(K3&lt;&gt;"",K3*D3,"")</f>
        <v/>
      </c>
      <c r="M3" s="8">
        <f>IF(AND(K3&lt;&gt;"",K3&lt;&gt;0),G3/K3,"")</f>
        <v/>
      </c>
      <c r="N3" s="8">
        <f>IF(AND(K3&lt;&gt;"",K3&lt;&gt;0),H3/K3,"")</f>
        <v/>
      </c>
      <c r="O3" s="8">
        <f>IF(AND(K3&lt;&gt;"",K3&lt;&gt;0),I3/K3,"")</f>
        <v/>
      </c>
      <c r="P3" s="8">
        <f>IF(AND(K3&lt;&gt;"",K3&lt;&gt;0),J3/K3,"")</f>
        <v/>
      </c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4">
        <f>IF(G4&lt;&gt;"",G4+H4+I4+J4,"")</f>
        <v/>
      </c>
      <c r="L4" s="7">
        <f>IF(K4&lt;&gt;"",K4*D4,"")</f>
        <v/>
      </c>
      <c r="M4" s="8">
        <f>IF(AND(K4&lt;&gt;"",K4&lt;&gt;0),G4/K4,"")</f>
        <v/>
      </c>
      <c r="N4" s="8">
        <f>IF(AND(K4&lt;&gt;"",K4&lt;&gt;0),H4/K4,"")</f>
        <v/>
      </c>
      <c r="O4" s="8">
        <f>IF(AND(K4&lt;&gt;"",K4&lt;&gt;0),I4/K4,"")</f>
        <v/>
      </c>
      <c r="P4" s="8">
        <f>IF(AND(K4&lt;&gt;"",K4&lt;&gt;0),J4/K4,"")</f>
        <v/>
      </c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4">
        <f>IF(G5&lt;&gt;"",G5+H5+I5+J5,"")</f>
        <v/>
      </c>
      <c r="L5" s="7">
        <f>IF(K5&lt;&gt;"",K5*D5,"")</f>
        <v/>
      </c>
      <c r="M5" s="8">
        <f>IF(AND(K5&lt;&gt;"",K5&lt;&gt;0),G5/K5,"")</f>
        <v/>
      </c>
      <c r="N5" s="8">
        <f>IF(AND(K5&lt;&gt;"",K5&lt;&gt;0),H5/K5,"")</f>
        <v/>
      </c>
      <c r="O5" s="8">
        <f>IF(AND(K5&lt;&gt;"",K5&lt;&gt;0),I5/K5,"")</f>
        <v/>
      </c>
      <c r="P5" s="8">
        <f>IF(AND(K5&lt;&gt;"",K5&lt;&gt;0),J5/K5,"")</f>
        <v/>
      </c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4">
        <f>IF(G6&lt;&gt;"",G6+H6+I6+J6,"")</f>
        <v/>
      </c>
      <c r="L6" s="7">
        <f>IF(K6&lt;&gt;"",K6*D6,"")</f>
        <v/>
      </c>
      <c r="M6" s="8">
        <f>IF(AND(K6&lt;&gt;"",K6&lt;&gt;0),G6/K6,"")</f>
        <v/>
      </c>
      <c r="N6" s="8">
        <f>IF(AND(K6&lt;&gt;"",K6&lt;&gt;0),H6/K6,"")</f>
        <v/>
      </c>
      <c r="O6" s="8">
        <f>IF(AND(K6&lt;&gt;"",K6&lt;&gt;0),I6/K6,"")</f>
        <v/>
      </c>
      <c r="P6" s="8">
        <f>IF(AND(K6&lt;&gt;"",K6&lt;&gt;0),J6/K6,"")</f>
        <v/>
      </c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4">
        <f>IF(G7&lt;&gt;"",G7+H7+I7+J7,"")</f>
        <v/>
      </c>
      <c r="L7" s="7">
        <f>IF(K7&lt;&gt;"",K7*D7,"")</f>
        <v/>
      </c>
      <c r="M7" s="8">
        <f>IF(AND(K7&lt;&gt;"",K7&lt;&gt;0),G7/K7,"")</f>
        <v/>
      </c>
      <c r="N7" s="8">
        <f>IF(AND(K7&lt;&gt;"",K7&lt;&gt;0),H7/K7,"")</f>
        <v/>
      </c>
      <c r="O7" s="8">
        <f>IF(AND(K7&lt;&gt;"",K7&lt;&gt;0),I7/K7,"")</f>
        <v/>
      </c>
      <c r="P7" s="8">
        <f>IF(AND(K7&lt;&gt;"",K7&lt;&gt;0),J7/K7,"")</f>
        <v/>
      </c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4">
        <f>IF(G8&lt;&gt;"",G8+H8+I8+J8,"")</f>
        <v/>
      </c>
      <c r="L8" s="7">
        <f>IF(K8&lt;&gt;"",K8*D8,"")</f>
        <v/>
      </c>
      <c r="M8" s="8">
        <f>IF(AND(K8&lt;&gt;"",K8&lt;&gt;0),G8/K8,"")</f>
        <v/>
      </c>
      <c r="N8" s="8">
        <f>IF(AND(K8&lt;&gt;"",K8&lt;&gt;0),H8/K8,"")</f>
        <v/>
      </c>
      <c r="O8" s="8">
        <f>IF(AND(K8&lt;&gt;"",K8&lt;&gt;0),I8/K8,"")</f>
        <v/>
      </c>
      <c r="P8" s="8">
        <f>IF(AND(K8&lt;&gt;"",K8&lt;&gt;0),J8/K8,"")</f>
        <v/>
      </c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4">
        <f>IF(G9&lt;&gt;"",G9+H9+I9+J9,"")</f>
        <v/>
      </c>
      <c r="L9" s="7">
        <f>IF(K9&lt;&gt;"",K9*D9,"")</f>
        <v/>
      </c>
      <c r="M9" s="8">
        <f>IF(AND(K9&lt;&gt;"",K9&lt;&gt;0),G9/K9,"")</f>
        <v/>
      </c>
      <c r="N9" s="8">
        <f>IF(AND(K9&lt;&gt;"",K9&lt;&gt;0),H9/K9,"")</f>
        <v/>
      </c>
      <c r="O9" s="8">
        <f>IF(AND(K9&lt;&gt;"",K9&lt;&gt;0),I9/K9,"")</f>
        <v/>
      </c>
      <c r="P9" s="8">
        <f>IF(AND(K9&lt;&gt;"",K9&lt;&gt;0),J9/K9,"")</f>
        <v/>
      </c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4">
        <f>IF(G10&lt;&gt;"",G10+H10+I10+J10,"")</f>
        <v/>
      </c>
      <c r="L10" s="7">
        <f>IF(K10&lt;&gt;"",K10*D10,"")</f>
        <v/>
      </c>
      <c r="M10" s="8">
        <f>IF(AND(K10&lt;&gt;"",K10&lt;&gt;0),G10/K10,"")</f>
        <v/>
      </c>
      <c r="N10" s="8">
        <f>IF(AND(K10&lt;&gt;"",K10&lt;&gt;0),H10/K10,"")</f>
        <v/>
      </c>
      <c r="O10" s="8">
        <f>IF(AND(K10&lt;&gt;"",K10&lt;&gt;0),I10/K10,"")</f>
        <v/>
      </c>
      <c r="P10" s="8">
        <f>IF(AND(K10&lt;&gt;"",K10&lt;&gt;0),J10/K10,"")</f>
        <v/>
      </c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4">
        <f>IF(G11&lt;&gt;"",G11+H11+I11+J11,"")</f>
        <v/>
      </c>
      <c r="L11" s="7">
        <f>IF(K11&lt;&gt;"",K11*D11,"")</f>
        <v/>
      </c>
      <c r="M11" s="8">
        <f>IF(AND(K11&lt;&gt;"",K11&lt;&gt;0),G11/K11,"")</f>
        <v/>
      </c>
      <c r="N11" s="8">
        <f>IF(AND(K11&lt;&gt;"",K11&lt;&gt;0),H11/K11,"")</f>
        <v/>
      </c>
      <c r="O11" s="8">
        <f>IF(AND(K11&lt;&gt;"",K11&lt;&gt;0),I11/K11,"")</f>
        <v/>
      </c>
      <c r="P11" s="8">
        <f>IF(AND(K11&lt;&gt;"",K11&lt;&gt;0),J11/K11,"")</f>
        <v/>
      </c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4">
        <f>IF(G12&lt;&gt;"",G12+H12+I12+J12,"")</f>
        <v/>
      </c>
      <c r="L12" s="7">
        <f>IF(K12&lt;&gt;"",K12*D12,"")</f>
        <v/>
      </c>
      <c r="M12" s="8">
        <f>IF(AND(K12&lt;&gt;"",K12&lt;&gt;0),G12/K12,"")</f>
        <v/>
      </c>
      <c r="N12" s="8">
        <f>IF(AND(K12&lt;&gt;"",K12&lt;&gt;0),H12/K12,"")</f>
        <v/>
      </c>
      <c r="O12" s="8">
        <f>IF(AND(K12&lt;&gt;"",K12&lt;&gt;0),I12/K12,"")</f>
        <v/>
      </c>
      <c r="P12" s="8">
        <f>IF(AND(K12&lt;&gt;"",K12&lt;&gt;0),J12/K12,"")</f>
        <v/>
      </c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4">
        <f>IF(G13&lt;&gt;"",G13+H13+I13+J13,"")</f>
        <v/>
      </c>
      <c r="L13" s="7">
        <f>IF(K13&lt;&gt;"",K13*D13,"")</f>
        <v/>
      </c>
      <c r="M13" s="8">
        <f>IF(AND(K13&lt;&gt;"",K13&lt;&gt;0),G13/K13,"")</f>
        <v/>
      </c>
      <c r="N13" s="8">
        <f>IF(AND(K13&lt;&gt;"",K13&lt;&gt;0),H13/K13,"")</f>
        <v/>
      </c>
      <c r="O13" s="8">
        <f>IF(AND(K13&lt;&gt;"",K13&lt;&gt;0),I13/K13,"")</f>
        <v/>
      </c>
      <c r="P13" s="8">
        <f>IF(AND(K13&lt;&gt;"",K13&lt;&gt;0),J13/K13,"")</f>
        <v/>
      </c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4">
        <f>IF(G14&lt;&gt;"",G14+H14+I14+J14,"")</f>
        <v/>
      </c>
      <c r="L14" s="7">
        <f>IF(K14&lt;&gt;"",K14*D14,"")</f>
        <v/>
      </c>
      <c r="M14" s="8">
        <f>IF(AND(K14&lt;&gt;"",K14&lt;&gt;0),G14/K14,"")</f>
        <v/>
      </c>
      <c r="N14" s="8">
        <f>IF(AND(K14&lt;&gt;"",K14&lt;&gt;0),H14/K14,"")</f>
        <v/>
      </c>
      <c r="O14" s="8">
        <f>IF(AND(K14&lt;&gt;"",K14&lt;&gt;0),I14/K14,"")</f>
        <v/>
      </c>
      <c r="P14" s="8">
        <f>IF(AND(K14&lt;&gt;"",K14&lt;&gt;0),J14/K14,"")</f>
        <v/>
      </c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4">
        <f>IF(G15&lt;&gt;"",G15+H15+I15+J15,"")</f>
        <v/>
      </c>
      <c r="L15" s="7">
        <f>IF(K15&lt;&gt;"",K15*D15,"")</f>
        <v/>
      </c>
      <c r="M15" s="8">
        <f>IF(AND(K15&lt;&gt;"",K15&lt;&gt;0),G15/K15,"")</f>
        <v/>
      </c>
      <c r="N15" s="8">
        <f>IF(AND(K15&lt;&gt;"",K15&lt;&gt;0),H15/K15,"")</f>
        <v/>
      </c>
      <c r="O15" s="8">
        <f>IF(AND(K15&lt;&gt;"",K15&lt;&gt;0),I15/K15,"")</f>
        <v/>
      </c>
      <c r="P15" s="8">
        <f>IF(AND(K15&lt;&gt;"",K15&lt;&gt;0),J15/K15,"")</f>
        <v/>
      </c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4">
        <f>IF(G16&lt;&gt;"",G16+H16+I16+J16,"")</f>
        <v/>
      </c>
      <c r="L16" s="7">
        <f>IF(K16&lt;&gt;"",K16*D16,"")</f>
        <v/>
      </c>
      <c r="M16" s="8">
        <f>IF(AND(K16&lt;&gt;"",K16&lt;&gt;0),G16/K16,"")</f>
        <v/>
      </c>
      <c r="N16" s="8">
        <f>IF(AND(K16&lt;&gt;"",K16&lt;&gt;0),H16/K16,"")</f>
        <v/>
      </c>
      <c r="O16" s="8">
        <f>IF(AND(K16&lt;&gt;"",K16&lt;&gt;0),I16/K16,"")</f>
        <v/>
      </c>
      <c r="P16" s="8">
        <f>IF(AND(K16&lt;&gt;"",K16&lt;&gt;0),J16/K16,"")</f>
        <v/>
      </c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4">
        <f>IF(G17&lt;&gt;"",G17+H17+I17+J17,"")</f>
        <v/>
      </c>
      <c r="L17" s="7">
        <f>IF(K17&lt;&gt;"",K17*D17,"")</f>
        <v/>
      </c>
      <c r="M17" s="8">
        <f>IF(AND(K17&lt;&gt;"",K17&lt;&gt;0),G17/K17,"")</f>
        <v/>
      </c>
      <c r="N17" s="8">
        <f>IF(AND(K17&lt;&gt;"",K17&lt;&gt;0),H17/K17,"")</f>
        <v/>
      </c>
      <c r="O17" s="8">
        <f>IF(AND(K17&lt;&gt;"",K17&lt;&gt;0),I17/K17,"")</f>
        <v/>
      </c>
      <c r="P17" s="8">
        <f>IF(AND(K17&lt;&gt;"",K17&lt;&gt;0),J17/K17,"")</f>
        <v/>
      </c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4">
        <f>IF(G18&lt;&gt;"",G18+H18+I18+J18,"")</f>
        <v/>
      </c>
      <c r="L18" s="7">
        <f>IF(K18&lt;&gt;"",K18*D18,"")</f>
        <v/>
      </c>
      <c r="M18" s="8">
        <f>IF(AND(K18&lt;&gt;"",K18&lt;&gt;0),G18/K18,"")</f>
        <v/>
      </c>
      <c r="N18" s="8">
        <f>IF(AND(K18&lt;&gt;"",K18&lt;&gt;0),H18/K18,"")</f>
        <v/>
      </c>
      <c r="O18" s="8">
        <f>IF(AND(K18&lt;&gt;"",K18&lt;&gt;0),I18/K18,"")</f>
        <v/>
      </c>
      <c r="P18" s="8">
        <f>IF(AND(K18&lt;&gt;"",K18&lt;&gt;0),J18/K18,"")</f>
        <v/>
      </c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4">
        <f>IF(G19&lt;&gt;"",G19+H19+I19+J19,"")</f>
        <v/>
      </c>
      <c r="L19" s="7">
        <f>IF(K19&lt;&gt;"",K19*D19,"")</f>
        <v/>
      </c>
      <c r="M19" s="8">
        <f>IF(AND(K19&lt;&gt;"",K19&lt;&gt;0),G19/K19,"")</f>
        <v/>
      </c>
      <c r="N19" s="8">
        <f>IF(AND(K19&lt;&gt;"",K19&lt;&gt;0),H19/K19,"")</f>
        <v/>
      </c>
      <c r="O19" s="8">
        <f>IF(AND(K19&lt;&gt;"",K19&lt;&gt;0),I19/K19,"")</f>
        <v/>
      </c>
      <c r="P19" s="8">
        <f>IF(AND(K19&lt;&gt;"",K19&lt;&gt;0),J19/K19,"")</f>
        <v/>
      </c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4">
        <f>IF(G20&lt;&gt;"",G20+H20+I20+J20,"")</f>
        <v/>
      </c>
      <c r="L20" s="7">
        <f>IF(K20&lt;&gt;"",K20*D20,"")</f>
        <v/>
      </c>
      <c r="M20" s="8">
        <f>IF(AND(K20&lt;&gt;"",K20&lt;&gt;0),G20/K20,"")</f>
        <v/>
      </c>
      <c r="N20" s="8">
        <f>IF(AND(K20&lt;&gt;"",K20&lt;&gt;0),H20/K20,"")</f>
        <v/>
      </c>
      <c r="O20" s="8">
        <f>IF(AND(K20&lt;&gt;"",K20&lt;&gt;0),I20/K20,"")</f>
        <v/>
      </c>
      <c r="P20" s="8">
        <f>IF(AND(K20&lt;&gt;"",K20&lt;&gt;0),J20/K20,"")</f>
        <v/>
      </c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4">
        <f>IF(G21&lt;&gt;"",G21+H21+I21+J21,"")</f>
        <v/>
      </c>
      <c r="L21" s="7">
        <f>IF(K21&lt;&gt;"",K21*D21,"")</f>
        <v/>
      </c>
      <c r="M21" s="8">
        <f>IF(AND(K21&lt;&gt;"",K21&lt;&gt;0),G21/K21,"")</f>
        <v/>
      </c>
      <c r="N21" s="8">
        <f>IF(AND(K21&lt;&gt;"",K21&lt;&gt;0),H21/K21,"")</f>
        <v/>
      </c>
      <c r="O21" s="8">
        <f>IF(AND(K21&lt;&gt;"",K21&lt;&gt;0),I21/K21,"")</f>
        <v/>
      </c>
      <c r="P21" s="8">
        <f>IF(AND(K21&lt;&gt;"",K21&lt;&gt;0),J21/K21,"")</f>
        <v/>
      </c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4">
        <f>IF(G22&lt;&gt;"",G22+H22+I22+J22,"")</f>
        <v/>
      </c>
      <c r="L22" s="7">
        <f>IF(K22&lt;&gt;"",K22*D22,"")</f>
        <v/>
      </c>
      <c r="M22" s="8">
        <f>IF(AND(K22&lt;&gt;"",K22&lt;&gt;0),G22/K22,"")</f>
        <v/>
      </c>
      <c r="N22" s="8">
        <f>IF(AND(K22&lt;&gt;"",K22&lt;&gt;0),H22/K22,"")</f>
        <v/>
      </c>
      <c r="O22" s="8">
        <f>IF(AND(K22&lt;&gt;"",K22&lt;&gt;0),I22/K22,"")</f>
        <v/>
      </c>
      <c r="P22" s="8">
        <f>IF(AND(K22&lt;&gt;"",K22&lt;&gt;0),J22/K22,"")</f>
        <v/>
      </c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4">
        <f>IF(G23&lt;&gt;"",G23+H23+I23+J23,"")</f>
        <v/>
      </c>
      <c r="L23" s="7">
        <f>IF(K23&lt;&gt;"",K23*D23,"")</f>
        <v/>
      </c>
      <c r="M23" s="8">
        <f>IF(AND(K23&lt;&gt;"",K23&lt;&gt;0),G23/K23,"")</f>
        <v/>
      </c>
      <c r="N23" s="8">
        <f>IF(AND(K23&lt;&gt;"",K23&lt;&gt;0),H23/K23,"")</f>
        <v/>
      </c>
      <c r="O23" s="8">
        <f>IF(AND(K23&lt;&gt;"",K23&lt;&gt;0),I23/K23,"")</f>
        <v/>
      </c>
      <c r="P23" s="8">
        <f>IF(AND(K23&lt;&gt;"",K23&lt;&gt;0),J23/K23,"")</f>
        <v/>
      </c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4">
        <f>IF(G24&lt;&gt;"",G24+H24+I24+J24,"")</f>
        <v/>
      </c>
      <c r="L24" s="7">
        <f>IF(K24&lt;&gt;"",K24*D24,"")</f>
        <v/>
      </c>
      <c r="M24" s="8">
        <f>IF(AND(K24&lt;&gt;"",K24&lt;&gt;0),G24/K24,"")</f>
        <v/>
      </c>
      <c r="N24" s="8">
        <f>IF(AND(K24&lt;&gt;"",K24&lt;&gt;0),H24/K24,"")</f>
        <v/>
      </c>
      <c r="O24" s="8">
        <f>IF(AND(K24&lt;&gt;"",K24&lt;&gt;0),I24/K24,"")</f>
        <v/>
      </c>
      <c r="P24" s="8">
        <f>IF(AND(K24&lt;&gt;"",K24&lt;&gt;0),J24/K24,"")</f>
        <v/>
      </c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4">
        <f>IF(G25&lt;&gt;"",G25+H25+I25+J25,"")</f>
        <v/>
      </c>
      <c r="L25" s="7">
        <f>IF(K25&lt;&gt;"",K25*D25,"")</f>
        <v/>
      </c>
      <c r="M25" s="8">
        <f>IF(AND(K25&lt;&gt;"",K25&lt;&gt;0),G25/K25,"")</f>
        <v/>
      </c>
      <c r="N25" s="8">
        <f>IF(AND(K25&lt;&gt;"",K25&lt;&gt;0),H25/K25,"")</f>
        <v/>
      </c>
      <c r="O25" s="8">
        <f>IF(AND(K25&lt;&gt;"",K25&lt;&gt;0),I25/K25,"")</f>
        <v/>
      </c>
      <c r="P25" s="8">
        <f>IF(AND(K25&lt;&gt;"",K25&lt;&gt;0),J25/K25,"")</f>
        <v/>
      </c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4">
        <f>IF(G26&lt;&gt;"",G26+H26+I26+J26,"")</f>
        <v/>
      </c>
      <c r="L26" s="7">
        <f>IF(K26&lt;&gt;"",K26*D26,"")</f>
        <v/>
      </c>
      <c r="M26" s="8">
        <f>IF(AND(K26&lt;&gt;"",K26&lt;&gt;0),G26/K26,"")</f>
        <v/>
      </c>
      <c r="N26" s="8">
        <f>IF(AND(K26&lt;&gt;"",K26&lt;&gt;0),H26/K26,"")</f>
        <v/>
      </c>
      <c r="O26" s="8">
        <f>IF(AND(K26&lt;&gt;"",K26&lt;&gt;0),I26/K26,"")</f>
        <v/>
      </c>
      <c r="P26" s="8">
        <f>IF(AND(K26&lt;&gt;"",K26&lt;&gt;0),J26/K26,"")</f>
        <v/>
      </c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4">
        <f>IF(G27&lt;&gt;"",G27+H27+I27+J27,"")</f>
        <v/>
      </c>
      <c r="L27" s="7">
        <f>IF(K27&lt;&gt;"",K27*D27,"")</f>
        <v/>
      </c>
      <c r="M27" s="8">
        <f>IF(AND(K27&lt;&gt;"",K27&lt;&gt;0),G27/K27,"")</f>
        <v/>
      </c>
      <c r="N27" s="8">
        <f>IF(AND(K27&lt;&gt;"",K27&lt;&gt;0),H27/K27,"")</f>
        <v/>
      </c>
      <c r="O27" s="8">
        <f>IF(AND(K27&lt;&gt;"",K27&lt;&gt;0),I27/K27,"")</f>
        <v/>
      </c>
      <c r="P27" s="8">
        <f>IF(AND(K27&lt;&gt;"",K27&lt;&gt;0),J27/K27,"")</f>
        <v/>
      </c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4">
        <f>IF(G28&lt;&gt;"",G28+H28+I28+J28,"")</f>
        <v/>
      </c>
      <c r="L28" s="7">
        <f>IF(K28&lt;&gt;"",K28*D28,"")</f>
        <v/>
      </c>
      <c r="M28" s="8">
        <f>IF(AND(K28&lt;&gt;"",K28&lt;&gt;0),G28/K28,"")</f>
        <v/>
      </c>
      <c r="N28" s="8">
        <f>IF(AND(K28&lt;&gt;"",K28&lt;&gt;0),H28/K28,"")</f>
        <v/>
      </c>
      <c r="O28" s="8">
        <f>IF(AND(K28&lt;&gt;"",K28&lt;&gt;0),I28/K28,"")</f>
        <v/>
      </c>
      <c r="P28" s="8">
        <f>IF(AND(K28&lt;&gt;"",K28&lt;&gt;0),J28/K28,"")</f>
        <v/>
      </c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4">
        <f>IF(G29&lt;&gt;"",G29+H29+I29+J29,"")</f>
        <v/>
      </c>
      <c r="L29" s="7">
        <f>IF(K29&lt;&gt;"",K29*D29,"")</f>
        <v/>
      </c>
      <c r="M29" s="8">
        <f>IF(AND(K29&lt;&gt;"",K29&lt;&gt;0),G29/K29,"")</f>
        <v/>
      </c>
      <c r="N29" s="8">
        <f>IF(AND(K29&lt;&gt;"",K29&lt;&gt;0),H29/K29,"")</f>
        <v/>
      </c>
      <c r="O29" s="8">
        <f>IF(AND(K29&lt;&gt;"",K29&lt;&gt;0),I29/K29,"")</f>
        <v/>
      </c>
      <c r="P29" s="8">
        <f>IF(AND(K29&lt;&gt;"",K29&lt;&gt;0),J29/K29,"")</f>
        <v/>
      </c>
      <c r="Q2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K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20" customWidth="1" min="11" max="11"/>
  </cols>
  <sheetData>
    <row r="1">
      <c r="A1" s="10" t="inlineStr">
        <is>
          <t>PGC VESSEL AVAILABILITY</t>
        </is>
      </c>
    </row>
    <row r="2">
      <c r="A2" s="1" t="inlineStr">
        <is>
          <t>Vessel Name</t>
        </is>
      </c>
      <c r="B2" s="1" t="inlineStr">
        <is>
          <t>Owner/Operator</t>
        </is>
      </c>
      <c r="C2" s="1" t="inlineStr">
        <is>
          <t>Capacity (cbm)</t>
        </is>
      </c>
      <c r="D2" s="1" t="inlineStr">
        <is>
          <t>Type</t>
        </is>
      </c>
      <c r="E2" s="1" t="inlineStr">
        <is>
          <t>Current Position</t>
        </is>
      </c>
      <c r="F2" s="1" t="inlineStr">
        <is>
          <t>Open Date</t>
        </is>
      </c>
      <c r="G2" s="1" t="inlineStr">
        <is>
          <t>Last Cargo</t>
        </is>
      </c>
      <c r="H2" s="1" t="inlineStr">
        <is>
          <t>TC Rate ($/day)</t>
        </is>
      </c>
      <c r="I2" s="1" t="inlineStr">
        <is>
          <t>Voyage Rate ($/mt est.)</t>
        </is>
      </c>
      <c r="J2" s="1" t="inlineStr">
        <is>
          <t>Broker Contact</t>
        </is>
      </c>
      <c r="K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8">
      <c r="A28" s="10" t="inlineStr">
        <is>
          <t>FREIGHT RATE LOG</t>
        </is>
      </c>
    </row>
    <row r="29">
      <c r="A29" s="1" t="inlineStr">
        <is>
          <t>Date</t>
        </is>
      </c>
      <c r="B29" s="1" t="inlineStr">
        <is>
          <t>Route</t>
        </is>
      </c>
      <c r="C29" s="1" t="inlineStr">
        <is>
          <t>Vessel Size (cbm)</t>
        </is>
      </c>
      <c r="D29" s="1" t="inlineStr">
        <is>
          <t>Rate Type</t>
        </is>
      </c>
      <c r="E29" s="1" t="inlineStr">
        <is>
          <t>Rate ($/mt or $/day)</t>
        </is>
      </c>
      <c r="F29" s="1" t="inlineStr">
        <is>
          <t>Broker</t>
        </is>
      </c>
      <c r="G29" s="1" t="inlineStr">
        <is>
          <t>Source</t>
        </is>
      </c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</sheetData>
  <dataValidations count="2">
    <dataValidation sqref="D3:D25" showDropDown="0" showInputMessage="0" showErrorMessage="0" allowBlank="1" type="list">
      <formula1>"Fully Pressurized,Semi-Pressurized,Semi-Ref"</formula1>
    </dataValidation>
    <dataValidation sqref="D30:D60" showDropDown="0" showInputMessage="0" showErrorMessage="0" allowBlank="1" type="list">
      <formula1>"Voyage $/mt,TC $/day,Lumpsum"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G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8" customWidth="1" min="4" max="4"/>
    <col width="18" customWidth="1" min="5" max="5"/>
    <col width="20" customWidth="1" min="6" max="6"/>
    <col width="20" customWidth="1" min="7" max="7"/>
  </cols>
  <sheetData>
    <row r="1">
      <c r="A1" s="10" t="inlineStr">
        <is>
          <t>BUYER-SIDE DEMAND SIGNALS &amp; MARKET INTELLIGENCE</t>
        </is>
      </c>
    </row>
    <row r="2">
      <c r="A2" s="1" t="inlineStr">
        <is>
          <t>Date</t>
        </is>
      </c>
      <c r="B2" s="1" t="inlineStr">
        <is>
          <t>Market</t>
        </is>
      </c>
      <c r="C2" s="1" t="inlineStr">
        <is>
          <t>Category</t>
        </is>
      </c>
      <c r="D2" s="1" t="inlineStr">
        <is>
          <t>Signal / Event</t>
        </is>
      </c>
      <c r="E2" s="1" t="inlineStr">
        <is>
          <t>Source</t>
        </is>
      </c>
      <c r="F2" s="1" t="inlineStr">
        <is>
          <t>Impact on Our Sales</t>
        </is>
      </c>
      <c r="G2" s="1" t="inlineStr">
        <is>
          <t>Action Taken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3">
      <c r="A53" s="6" t="inlineStr">
        <is>
          <t>KEY DEMAND METRICS (update weekly)</t>
        </is>
      </c>
    </row>
    <row r="54">
      <c r="A54" s="1" t="inlineStr">
        <is>
          <t>Metric</t>
        </is>
      </c>
      <c r="B54" s="1" t="inlineStr">
        <is>
          <t>Latest Value</t>
        </is>
      </c>
      <c r="C54" s="1" t="inlineStr">
        <is>
          <t>Prior Value</t>
        </is>
      </c>
      <c r="D54" s="1" t="inlineStr">
        <is>
          <t>Change</t>
        </is>
      </c>
      <c r="E54" s="1" t="inlineStr">
        <is>
          <t>Date Updated</t>
        </is>
      </c>
      <c r="F54" s="1" t="inlineStr">
        <is>
          <t>Source</t>
        </is>
      </c>
    </row>
    <row r="55">
      <c r="A55" s="12" t="inlineStr">
        <is>
          <t>China PDH Operating Rate (%)</t>
        </is>
      </c>
      <c r="B55" s="12" t="n"/>
      <c r="C55" s="12" t="n"/>
      <c r="D55" s="13">
        <f>IF(AND(B55&lt;&gt;"",C55&lt;&gt;""),B55-C55,"")</f>
        <v/>
      </c>
      <c r="E55" s="12" t="n"/>
      <c r="F55" s="12" t="n"/>
    </row>
    <row r="56">
      <c r="A56" s="12" t="inlineStr">
        <is>
          <t>China PDH Margin ($/mt)</t>
        </is>
      </c>
      <c r="B56" s="12" t="n"/>
      <c r="C56" s="12" t="n"/>
      <c r="D56" s="13">
        <f>IF(AND(B56&lt;&gt;"",C56&lt;&gt;""),B56-C56,"")</f>
        <v/>
      </c>
      <c r="E56" s="12" t="n"/>
      <c r="F56" s="12" t="n"/>
    </row>
    <row r="57">
      <c r="A57" s="12" t="inlineStr">
        <is>
          <t>Vietnam PV Gas Tender Calendar</t>
        </is>
      </c>
      <c r="B57" s="12" t="n"/>
      <c r="C57" s="12" t="n"/>
      <c r="D57" s="13">
        <f>IF(AND(B57&lt;&gt;"",C57&lt;&gt;""),B57-C57,"")</f>
        <v/>
      </c>
      <c r="E57" s="12" t="n"/>
      <c r="F57" s="12" t="n"/>
    </row>
    <row r="58">
      <c r="A58" s="12" t="inlineStr">
        <is>
          <t>Philippines Petron Import Schedule</t>
        </is>
      </c>
      <c r="B58" s="12" t="n"/>
      <c r="C58" s="12" t="n"/>
      <c r="D58" s="13">
        <f>IF(AND(B58&lt;&gt;"",C58&lt;&gt;""),B58-C58,"")</f>
        <v/>
      </c>
      <c r="E58" s="12" t="n"/>
      <c r="F58" s="12" t="n"/>
    </row>
    <row r="59">
      <c r="A59" s="12" t="inlineStr">
        <is>
          <t>Bangladesh Mongla Monthly Arrivals (MT)</t>
        </is>
      </c>
      <c r="B59" s="12" t="n"/>
      <c r="C59" s="12" t="n"/>
      <c r="D59" s="13">
        <f>IF(AND(B59&lt;&gt;"",C59&lt;&gt;""),B59-C59,"")</f>
        <v/>
      </c>
      <c r="E59" s="12" t="n"/>
      <c r="F59" s="12" t="n"/>
    </row>
    <row r="60">
      <c r="A60" s="12" t="inlineStr">
        <is>
          <t>Indonesia Pertamina Tender</t>
        </is>
      </c>
      <c r="B60" s="12" t="n"/>
      <c r="C60" s="12" t="n"/>
      <c r="D60" s="13">
        <f>IF(AND(B60&lt;&gt;"",C60&lt;&gt;""),B60-C60,"")</f>
        <v/>
      </c>
      <c r="E60" s="12" t="n"/>
      <c r="F60" s="12" t="n"/>
    </row>
    <row r="61">
      <c r="A61" s="12" t="inlineStr">
        <is>
          <t>AFEI M1-M2 Spread ($/mt)</t>
        </is>
      </c>
      <c r="B61" s="12" t="n"/>
      <c r="C61" s="12" t="n"/>
      <c r="D61" s="13">
        <f>IF(AND(B61&lt;&gt;"",C61&lt;&gt;""),B61-C61,"")</f>
        <v/>
      </c>
      <c r="E61" s="12" t="n"/>
      <c r="F61" s="12" t="n"/>
    </row>
    <row r="62">
      <c r="A62" s="12" t="inlineStr">
        <is>
          <t>PGC Spot Freight ($/mt, Brunei-SCH)</t>
        </is>
      </c>
      <c r="B62" s="12" t="n"/>
      <c r="C62" s="12" t="n"/>
      <c r="D62" s="13">
        <f>IF(AND(B62&lt;&gt;"",C62&lt;&gt;""),B62-C62,"")</f>
        <v/>
      </c>
      <c r="E62" s="12" t="n"/>
      <c r="F62" s="12" t="n"/>
    </row>
    <row r="63">
      <c r="A63" s="12" t="inlineStr">
        <is>
          <t>Brent Crude ($/bbl)</t>
        </is>
      </c>
      <c r="B63" s="12" t="n"/>
      <c r="C63" s="12" t="n"/>
      <c r="D63" s="13">
        <f>IF(AND(B63&lt;&gt;"",C63&lt;&gt;""),B63-C63,"")</f>
        <v/>
      </c>
      <c r="E63" s="12" t="n"/>
      <c r="F63" s="12" t="n"/>
    </row>
    <row r="64">
      <c r="A64" s="12" t="inlineStr">
        <is>
          <t>USD/CNY Rate</t>
        </is>
      </c>
      <c r="B64" s="12" t="n"/>
      <c r="C64" s="12" t="n"/>
      <c r="D64" s="13">
        <f>IF(AND(B64&lt;&gt;"",C64&lt;&gt;""),B64-C64,"")</f>
        <v/>
      </c>
      <c r="E64" s="12" t="n"/>
      <c r="F64" s="12" t="n"/>
    </row>
  </sheetData>
  <dataValidations count="2">
    <dataValidation sqref="B3:B100" showDropDown="0" showInputMessage="0" showErrorMessage="0" allowBlank="1" type="list">
      <formula1>"China PDH,China Domestic,Vietnam,Philippines,Bangladesh,Myanmar,Sri Lanka,Indonesia,India,Freight,Macro,Other"</formula1>
    </dataValidation>
    <dataValidation sqref="C3:C100" showDropDown="0" showInputMessage="0" showErrorMessage="0" allowBlank="1" type="list">
      <formula1>"Demand,Supply,Price,Policy,Infrastructure,Tender,Cargo Flow,Weather,Geopolitical"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2026-04-14T02:05:11Z</dcterms:created>
  <dcterms:modified xmlns:dcterms="http://purl.org/dc/terms/" xmlns:xsi="http://www.w3.org/2001/XMLSchema-instance" xsi:type="dcterms:W3CDTF">2026-04-14T02:05:11Z</dcterms:modified>
</cp:coreProperties>
</file>